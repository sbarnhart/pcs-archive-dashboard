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9af4dc315b4781" /></Relationships>
</file>

<file path=xl/workbook.xml><?xml version="1.0" encoding="utf-8"?>
<x:workbook xmlns:x="http://schemas.openxmlformats.org/spreadsheetml/2006/main">
  <x:sheets>
    <x:sheet xmlns:r="http://schemas.openxmlformats.org/officeDocument/2006/relationships" name="Orders" sheetId="1" r:id="Rf9f3a0778bdd43d7"/>
    <x:sheet xmlns:r="http://schemas.openxmlformats.org/officeDocument/2006/relationships" name="Summary" sheetId="2" r:id="Rb73342063bcc46a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
  </x:numFmts>
  <x:fonts count="6">
    <x:font>
      <x:sz val="11"/>
      <x:name val="Carlito"/>
    </x:font>
    <x:font>
      <x:b/>
      <x:sz val="11"/>
      <x:color rgb="FF202124"/>
      <x:name val="Carlito"/>
    </x:font>
    <x:font>
      <x:sz val="10"/>
      <x:color rgb="FF202124"/>
      <x:name val="Carlito"/>
    </x:font>
    <x:font>
      <x:b/>
      <x:sz val="16"/>
      <x:color rgb="FF202124"/>
      <x:name val="Carlito"/>
    </x:font>
    <x:font>
      <x:b/>
      <x:sz val="11"/>
      <x:color rgb="FF3C4043"/>
      <x:name val="Carlito"/>
    </x:font>
    <x:font>
      <x:i/>
      <x:sz val="10"/>
      <x:color rgb="FF5F6368"/>
      <x:name val="Carlito"/>
    </x:font>
  </x:fonts>
  <x:fills count="4">
    <x:fill>
      <x:patternFill patternType="none"/>
    </x:fill>
    <x:fill>
      <x:patternFill patternType="gray125"/>
    </x:fill>
    <x:fill>
      <x:patternFill patternType="solid">
        <x:fgColor rgb="FFE8EAED"/>
      </x:patternFill>
    </x:fill>
    <x:fill>
      <x:patternFill patternType="solid">
        <x:fgColor rgb="FFF8F9FA"/>
      </x:patternFill>
    </x:fill>
  </x:fills>
  <x:borders count="10">
    <x:border/>
    <x:border>
      <x:bottom style="double">
        <x:color rgb="FF9AA0A6"/>
      </x:bottom>
    </x:border>
    <x:border>
      <x:left style="thin">
        <x:color rgb="FFDADCE0"/>
      </x:left>
      <x:top style="thin">
        <x:color rgb="FFDADCE0"/>
      </x:top>
    </x:border>
    <x:border>
      <x:top style="thin">
        <x:color rgb="FFDADCE0"/>
      </x:top>
    </x:border>
    <x:border>
      <x:right style="thin">
        <x:color rgb="FFDADCE0"/>
      </x:right>
      <x:top style="thin">
        <x:color rgb="FFDADCE0"/>
      </x:top>
    </x:border>
    <x:border>
      <x:left style="thin">
        <x:color rgb="FFDADCE0"/>
      </x:left>
    </x:border>
    <x:border>
      <x:right style="thin">
        <x:color rgb="FFDADCE0"/>
      </x:right>
    </x:border>
    <x:border>
      <x:left style="thin">
        <x:color rgb="FFDADCE0"/>
      </x:left>
      <x:bottom style="thin">
        <x:color rgb="FFDADCE0"/>
      </x:bottom>
    </x:border>
    <x:border>
      <x:bottom style="thin">
        <x:color rgb="FFDADCE0"/>
      </x:bottom>
    </x:border>
    <x:border>
      <x:right style="thin">
        <x:color rgb="FFDADCE0"/>
      </x:right>
      <x:bottom style="thin">
        <x:color rgb="FFDADCE0"/>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wrapText="0"/>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4"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8" xfId="0" applyNumberFormat="1" applyFont="1" applyFill="1" applyBorder="1"/>
    <x:xf numFmtId="0" fontId="5" fillId="3" borderId="9"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5"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6" xfId="0" applyNumberFormat="1" applyFont="1" applyFill="1" applyBorder="1" applyAlignment="1">
      <x:alignment wrapText="1"/>
    </x:xf>
    <x:xf numFmtId="0" fontId="5" fillId="3" borderId="7" xfId="0" applyNumberFormat="1" applyFont="1" applyFill="1" applyBorder="1" applyAlignment="1">
      <x:alignment wrapText="1"/>
    </x:xf>
    <x:xf numFmtId="0" fontId="5" fillId="3" borderId="8" xfId="0" applyNumberFormat="1" applyFont="1" applyFill="1" applyBorder="1" applyAlignment="1">
      <x:alignment wrapText="1"/>
    </x:xf>
    <x:xf numFmtId="0" fontId="5" fillId="3" borderId="9" xfId="0" applyNumberFormat="1" applyFont="1" applyFill="1" applyBorder="1" applyAlignment="1">
      <x:alignment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17d00732be4dcd" /><Relationship Type="http://schemas.openxmlformats.org/officeDocument/2006/relationships/theme" Target="/xl/theme/theme1.xml" Id="R83194246a7bc4cd4" /><Relationship Type="http://schemas.openxmlformats.org/officeDocument/2006/relationships/sharedStrings" Target="/xl/sharedStrings.xml" Id="R9ee485482bf44265" /><Relationship Type="http://schemas.openxmlformats.org/officeDocument/2006/relationships/worksheet" Target="/xl/worksheets/sheet1.xml" Id="Rf9f3a0778bdd43d7" /><Relationship Type="http://schemas.openxmlformats.org/officeDocument/2006/relationships/worksheet" Target="/xl/worksheets/sheet2.xml" Id="Rb73342063bcc46a9" /></Relationships>
</file>

<file path=xl/tables/table1.xml><?xml version="1.0" encoding="utf-8"?>
<x:table xmlns:x="http://schemas.openxmlformats.org/spreadsheetml/2006/main" id="1" name="TemuOrdersTable" displayName="TemuOrdersTable" ref="A1:Q161" headerRowCount="1" totalsRowCount="0" totalsRowShown="0">
  <x:tableColumns count="17">
    <x:tableColumn id="1" name="Image"/>
    <x:tableColumn id="2" name="Order Date"/>
    <x:tableColumn id="3" name="Order ID"/>
    <x:tableColumn id="4" name="Item Name"/>
    <x:tableColumn id="5" name="Variant"/>
    <x:tableColumn id="6" name="Qty"/>
    <x:tableColumn id="7" name="Items in Order"/>
    <x:tableColumn id="8" name="Listed Unit Price"/>
    <x:tableColumn id="9" name="Paid Unit Price"/>
    <x:tableColumn id="10" name="Shipping for Order"/>
    <x:tableColumn id="11" name="Shipping Added / Unit"/>
    <x:tableColumn id="12" name="Unit Cost incl. Shipping"/>
    <x:tableColumn id="13" name="Line Cost incl. Shipping"/>
    <x:tableColumn id="14" name="Sales Tax (Order)"/>
    <x:tableColumn id="15" name="Order Total"/>
    <x:tableColumn id="16" name="Image URL"/>
    <x:tableColumn id="17" name="Receipt URL"/>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7fb08a445944ed" /></Relationships>
</file>

<file path=xl/worksheets/sheet1.xml><?xml version="1.0" encoding="utf-8"?>
<x:worksheet xmlns:x="http://schemas.openxmlformats.org/spreadsheetml/2006/main">
  <x:sheetViews>
    <x:sheetView showGridLines="1" workbookViewId="0"/>
  </x:sheetViews>
  <x:sheetFormatPr defaultRowHeight="15"/>
  <x:cols>
    <x:col min="1" max="1" width="9" hidden="0" customWidth="1"/>
    <x:col min="2" max="2" width="11.880000114440918" hidden="0" customWidth="1"/>
    <x:col min="3" max="3" width="23.75" hidden="0" customWidth="1"/>
    <x:col min="4" max="4" width="45" hidden="0" customWidth="1"/>
    <x:col min="5" max="5" width="18.75" hidden="0" customWidth="1"/>
    <x:col min="6" max="6" width="11.25" hidden="0" customWidth="1"/>
    <x:col min="7" max="7" width="11.2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32.5" hidden="0" customWidth="1"/>
    <x:col min="17" max="17" width="32.5" hidden="0" customWidth="1"/>
  </x:cols>
  <x:sheetData>
    <x:row r="1">
      <x:c r="A1" s="5" t="str">
        <x:v>Image</x:v>
      </x:c>
      <x:c r="B1" s="5" t="str">
        <x:v>Order Date</x:v>
      </x:c>
      <x:c r="C1" s="5" t="str">
        <x:v>Order ID</x:v>
      </x:c>
      <x:c r="D1" s="5" t="str">
        <x:v>Item Name</x:v>
      </x:c>
      <x:c r="E1" s="5" t="str">
        <x:v>Variant</x:v>
      </x:c>
      <x:c r="F1" s="5" t="str">
        <x:v>Qty</x:v>
      </x:c>
      <x:c r="G1" s="5" t="str">
        <x:v>Items in Order</x:v>
      </x:c>
      <x:c r="H1" s="5" t="str">
        <x:v>Listed Unit Price</x:v>
      </x:c>
      <x:c r="I1" s="5" t="str">
        <x:v>Paid Unit Price</x:v>
      </x:c>
      <x:c r="J1" s="5" t="str">
        <x:v>Shipping for Order</x:v>
      </x:c>
      <x:c r="K1" s="5" t="str">
        <x:v>Shipping Added / Unit</x:v>
      </x:c>
      <x:c r="L1" s="5" t="str">
        <x:v>Unit Cost incl. Shipping</x:v>
      </x:c>
      <x:c r="M1" s="5" t="str">
        <x:v>Line Cost incl. Shipping</x:v>
      </x:c>
      <x:c r="N1" s="5" t="str">
        <x:v>Sales Tax (Order)</x:v>
      </x:c>
      <x:c r="O1" s="5" t="str">
        <x:v>Order Total</x:v>
      </x:c>
      <x:c r="P1" s="5" t="str">
        <x:v>Image URL</x:v>
      </x:c>
      <x:c r="Q1" s="5" t="str">
        <x:v>Receipt URL</x:v>
      </x:c>
    </x:row>
    <x:row r="2" ht="48" customHeight="1">
      <x:c r="A2" s="6" t="e">
        <x:f>IMAGE(P2)</x:f>
        <x:v>IMAGE is not implemented. source=https://img.kwcdn.com/product/open/0350520401f5458797edeed025088c43-goods.jpeg?imageView2/2/w/300/q/70/format/avif, altText=undefined, sizing=undefined, height=undefined, width=undefined</x:v>
      </x:c>
      <x:c r="B2" s="7" t="n">
        <x:v>46245</x:v>
      </x:c>
      <x:c r="C2" s="6" t="str">
        <x:v>PO-211-00248155827830601</x:v>
      </x:c>
      <x:c r="D2" s="10" t="str">
        <x:v>18pcs Realistic Butter Stick Toy Set, Slow-Rebound PU Foam Squeezing Toy Set, Soft And Decompressing Finger Toys, Suitable for Desktop Decorations, Gifts, And Party Supplies</x:v>
      </x:c>
      <x:c r="E2" s="10" t="str">
        <x:v>18pcs</x:v>
      </x:c>
      <x:c r="F2" s="8" t="n">
        <x:v>2</x:v>
      </x:c>
      <x:c r="G2" s="8" t="n">
        <x:v>2</x:v>
      </x:c>
      <x:c r="H2" s="9" t="n">
        <x:v>17.68</x:v>
      </x:c>
      <x:c r="I2" s="9" t="n">
        <x:v>17.68</x:v>
      </x:c>
      <x:c r="J2" s="9" t="n">
        <x:v>0</x:v>
      </x:c>
      <x:c r="K2" s="9" t="n">
        <x:f>IF(G2=0,0,J2/G2)</x:f>
        <x:v>0</x:v>
      </x:c>
      <x:c r="L2" s="9" t="n">
        <x:f>I2+K2</x:f>
        <x:v>17.68</x:v>
      </x:c>
      <x:c r="M2" s="9" t="n">
        <x:f>L2*F2</x:f>
        <x:v>35.36</x:v>
      </x:c>
      <x:c r="N2" s="9" t="n">
        <x:v>2.56</x:v>
      </x:c>
      <x:c r="O2" s="9" t="n">
        <x:v>37.92</x:v>
      </x:c>
      <x:c r="P2" s="11" t="str">
        <x:v>https://img.kwcdn.com/product/open/0350520401f5458797edeed025088c43-goods.jpeg?imageView2/2/w/300/q/70/format/avif</x:v>
      </x:c>
      <x:c r="Q2" s="11" t="str">
        <x:v>https://www.temu.com/bgt_order_receipt.html?parent_order_sn=PO-211-00248155827830601</x:v>
      </x:c>
    </x:row>
    <x:row r="3" ht="48" customHeight="1">
      <x:c r="A3" s="6" t="e">
        <x:f>IMAGE(P3)</x:f>
        <x:v>IMAGE is not implemented. source=https://img.kwcdn.com/product/fancy/dfc4fdec-50b4-49ea-9f0e-7d37eb74ed48.jpg?imageView2/2/w/300/q/70/format/avif, altText=undefined, sizing=undefined, height=undefined, width=undefined</x:v>
      </x:c>
      <x:c r="B3" s="7" t="n">
        <x:v>46245</x:v>
      </x:c>
      <x:c r="C3" s="6" t="str">
        <x:v>PO-211-00248208256630601</x:v>
      </x:c>
      <x:c r="D3" s="10" t="str">
        <x:v>48pcs-3D Printed Contains 24pcs Dragons And 24pcs Dragon Eggs, Collectible Figurines, Home Decoration, Festival Celebration Parties, Holiday Celebrations, Small Gifts, And Is Ideal for Offices, Living Rooms, Christmas And Halloween Occasions</x:v>
      </x:c>
      <x:c r="E3" s="10" t="str">
        <x:v>24 Dragons + 24 Dragon Eggs</x:v>
      </x:c>
      <x:c r="F3" s="8" t="n">
        <x:v>2</x:v>
      </x:c>
      <x:c r="G3" s="8" t="n">
        <x:v>2</x:v>
      </x:c>
      <x:c r="H3" s="9" t="n">
        <x:v>21.19</x:v>
      </x:c>
      <x:c r="I3" s="9" t="n">
        <x:v>13.12</x:v>
      </x:c>
      <x:c r="J3" s="9" t="n">
        <x:v>0</x:v>
      </x:c>
      <x:c r="K3" s="9" t="n">
        <x:f>IF(G3=0,0,J3/G3)</x:f>
        <x:v>0</x:v>
      </x:c>
      <x:c r="L3" s="9" t="n">
        <x:f>I3+K3</x:f>
        <x:v>13.12</x:v>
      </x:c>
      <x:c r="M3" s="9" t="n">
        <x:f>L3*F3</x:f>
        <x:v>26.24</x:v>
      </x:c>
      <x:c r="N3" s="9" t="n">
        <x:v>1.9</x:v>
      </x:c>
      <x:c r="O3" s="9" t="n">
        <x:v>28.14</x:v>
      </x:c>
      <x:c r="P3" s="11" t="str">
        <x:v>https://img.kwcdn.com/product/fancy/dfc4fdec-50b4-49ea-9f0e-7d37eb74ed48.jpg?imageView2/2/w/300/q/70/format/avif</x:v>
      </x:c>
      <x:c r="Q3" s="11" t="str">
        <x:v>https://www.temu.com/bgt_order_receipt.html?parent_order_sn=PO-211-00248208256630601</x:v>
      </x:c>
    </x:row>
    <x:row r="4" ht="48" customHeight="1">
      <x:c r="A4" s="6" t="e">
        <x:f>IMAGE(P4)</x:f>
        <x:v>IMAGE is not implemented. source=https://img.kwcdn.com/product/open/92fabe35e8c04e13a517625041ec68c7-goods.jpeg?imageView2/2/w/300/q/70/format/avif, altText=undefined, sizing=undefined, height=undefined, width=undefined</x:v>
      </x:c>
      <x:c r="B4" s="7" t="n">
        <x:v>46245</x:v>
      </x:c>
      <x:c r="C4" s="6" t="str">
        <x:v>PO-211-00248292142710601</x:v>
      </x:c>
      <x:c r="D4" s="10" t="str">
        <x:v>30pcs Tyrannosaurus Dinosaur Eggs Transform Twisting Newfangled Pterodactyl Deformation Dinosaur Eggs Toys 2 in 1 Cool Birthday Event Party Favors Classroom Prizes Piñata - Outdoor Toy for Kids (Random)</x:v>
      </x:c>
      <x:c r="E4" s="10" t="str">
        <x:v>30Pcs</x:v>
      </x:c>
      <x:c r="F4" s="8" t="n">
        <x:v>1</x:v>
      </x:c>
      <x:c r="G4" s="8" t="n">
        <x:v>3</x:v>
      </x:c>
      <x:c r="H4" s="9" t="n">
        <x:v>9.49</x:v>
      </x:c>
      <x:c r="I4" s="9" t="n">
        <x:v>9.49</x:v>
      </x:c>
      <x:c r="J4" s="9" t="n">
        <x:v>0</x:v>
      </x:c>
      <x:c r="K4" s="9" t="n">
        <x:f>IF(G4=0,0,J4/G4)</x:f>
        <x:v>0</x:v>
      </x:c>
      <x:c r="L4" s="9" t="n">
        <x:f>I4+K4</x:f>
        <x:v>9.49</x:v>
      </x:c>
      <x:c r="M4" s="9" t="n">
        <x:f>L4*F4</x:f>
        <x:v>9.49</x:v>
      </x:c>
      <x:c r="N4" s="9" t="n">
        <x:v>2.57</x:v>
      </x:c>
      <x:c r="O4" s="9" t="n">
        <x:v>38.02</x:v>
      </x:c>
      <x:c r="P4" s="11" t="str">
        <x:v>https://img.kwcdn.com/product/open/92fabe35e8c04e13a517625041ec68c7-goods.jpeg?imageView2/2/w/300/q/70/format/avif</x:v>
      </x:c>
      <x:c r="Q4" s="11" t="str">
        <x:v>https://www.temu.com/bgt_order_receipt.html?parent_order_sn=PO-211-00248292142710601</x:v>
      </x:c>
    </x:row>
    <x:row r="5" ht="48" customHeight="1">
      <x:c r="A5" s="6" t="e">
        <x:f>IMAGE(P5)</x:f>
        <x:v>IMAGE is not implemented. source=https://img.kwcdn.com/product/open/c57bc75c59834d55a516339a3241649d-goods.jpeg?imageView2/2/w/300/q/70/format/avif, altText=undefined, sizing=undefined, height=undefined, width=undefined</x:v>
      </x:c>
      <x:c r="B5" s="7" t="n">
        <x:v>46245</x:v>
      </x:c>
      <x:c r="C5" s="6" t="str">
        <x:v>PO-211-00248292142710601</x:v>
      </x:c>
      <x:c r="D5" s="10" t="str">
        <x:v>Gift for Her/Him 100pcs Halloween Wristbands Bulk- Trick or Treat Party Favors, Goodie Bag Stuffers, Classroom Prizes for Teens &amp; Adults- 9 Spooky Designs with Pumpkins, Ghosts, Bats- Bracelet Party Gift Packages Christmas, Halloween</x:v>
      </x:c>
      <x:c r="E5" s="10" t="str">
        <x:v>100pcs</x:v>
      </x:c>
      <x:c r="F5" s="8" t="n">
        <x:v>2</x:v>
      </x:c>
      <x:c r="G5" s="8" t="n">
        <x:v>3</x:v>
      </x:c>
      <x:c r="H5" s="9" t="n">
        <x:v>16.23</x:v>
      </x:c>
      <x:c r="I5" s="9" t="n">
        <x:v>12.98</x:v>
      </x:c>
      <x:c r="J5" s="9" t="n">
        <x:v>0</x:v>
      </x:c>
      <x:c r="K5" s="9" t="n">
        <x:f>IF(G5=0,0,J5/G5)</x:f>
        <x:v>0</x:v>
      </x:c>
      <x:c r="L5" s="9" t="n">
        <x:f>I5+K5</x:f>
        <x:v>12.98</x:v>
      </x:c>
      <x:c r="M5" s="9" t="n">
        <x:f>L5*F5</x:f>
        <x:v>25.96</x:v>
      </x:c>
      <x:c r="N5" s="9" t="n">
        <x:v>2.57</x:v>
      </x:c>
      <x:c r="O5" s="9" t="n">
        <x:v>38.02</x:v>
      </x:c>
      <x:c r="P5" s="11" t="str">
        <x:v>https://img.kwcdn.com/product/open/c57bc75c59834d55a516339a3241649d-goods.jpeg?imageView2/2/w/300/q/70/format/avif</x:v>
      </x:c>
      <x:c r="Q5" s="11" t="str">
        <x:v>https://www.temu.com/bgt_order_receipt.html?parent_order_sn=PO-211-00248292142710601</x:v>
      </x:c>
    </x:row>
    <x:row r="6" ht="48" customHeight="1">
      <x:c r="A6" s="6" t="e">
        <x:f>IMAGE(P6)</x:f>
        <x:v>IMAGE is not implemented. source=https://img.kwcdn.com/product/fancy/54fea893-39ae-4338-a0eb-f607b63b2f49.jpg?imageView2/2/w/300/q/70/format/avif, altText=undefined, sizing=undefined, height=undefined, width=undefined</x:v>
      </x:c>
      <x:c r="B6" s="7" t="n">
        <x:v>46227</x:v>
      </x:c>
      <x:c r="C6" s="6" t="str">
        <x:v>PO-211-20348696781430601</x:v>
      </x:c>
      <x:c r="D6" s="10" t="str">
        <x:v>Infrared Thermometer Gun, Non-Contact Surface Thermometer Gun for Pizza Cooking, Ovens, Grills, Frying And Repair(Non-Human)</x:v>
      </x:c>
      <x:c r="E6" s="10" t="str">
        <x:v>Yellow</x:v>
      </x:c>
      <x:c r="F6" s="8" t="n">
        <x:v>1</x:v>
      </x:c>
      <x:c r="G6" s="8" t="n">
        <x:v>1</x:v>
      </x:c>
      <x:c r="H6" s="9" t="n">
        <x:v>5.55</x:v>
      </x:c>
      <x:c r="I6" s="9" t="n">
        <x:v>4.57</x:v>
      </x:c>
      <x:c r="J6" s="9" t="n">
        <x:v>2.99</x:v>
      </x:c>
      <x:c r="K6" s="9" t="n">
        <x:f>IF(G6=0,0,J6/G6)</x:f>
        <x:v>2.99</x:v>
      </x:c>
      <x:c r="L6" s="9" t="n">
        <x:f>I6+K6</x:f>
        <x:v>7.5600000000000005</x:v>
      </x:c>
      <x:c r="M6" s="9" t="n">
        <x:f>L6*F6</x:f>
        <x:v>7.5600000000000005</x:v>
      </x:c>
      <x:c r="N6" s="9" t="n">
        <x:v>0.33</x:v>
      </x:c>
      <x:c r="O6" s="9" t="n">
        <x:v>7.89</x:v>
      </x:c>
      <x:c r="P6" s="11" t="str">
        <x:v>https://img.kwcdn.com/product/fancy/54fea893-39ae-4338-a0eb-f607b63b2f49.jpg?imageView2/2/w/300/q/70/format/avif</x:v>
      </x:c>
      <x:c r="Q6" s="11" t="str">
        <x:v>https://www.temu.com/bgt_order_receipt.html?parent_order_sn=PO-211-20348696781430601</x:v>
      </x:c>
    </x:row>
    <x:row r="7" ht="48" customHeight="1">
      <x:c r="A7" s="6" t="e">
        <x:f>IMAGE(P7)</x:f>
        <x:v>IMAGE is not implemented. source=https://img.kwcdn.com/product/fancy/25a2da28-7abd-47d3-a052-d2db101d3a74.jpg?imageView2/2/w/300/q/70/format/avif, altText=undefined, sizing=undefined, height=undefined, width=undefined</x:v>
      </x:c>
      <x:c r="B7" s="7" t="n">
        <x:v>46215</x:v>
      </x:c>
      <x:c r="C7" s="6" t="str">
        <x:v>PO-211-16912618383990601</x:v>
      </x:c>
      <x:c r="D7" s="10" t="str">
        <x:v>10/20/30pcs Cute Octopus Squishy Toys, Soft Slow-Rising Fun Fidget Toys, Suitable for Classroom Prizes, Party Favors, Birthday Gifts, Holiday Gifts (Random Colors) .Random Color</x:v>
      </x:c>
      <x:c r="E7" s="10" t="str">
        <x:v>30pcs</x:v>
      </x:c>
      <x:c r="F7" s="8" t="n">
        <x:v>2</x:v>
      </x:c>
      <x:c r="G7" s="8" t="n">
        <x:v>5</x:v>
      </x:c>
      <x:c r="H7" s="9" t="n">
        <x:v>13.15</x:v>
      </x:c>
      <x:c r="I7" s="9" t="n">
        <x:v>13.15</x:v>
      </x:c>
      <x:c r="J7" s="9" t="n">
        <x:v>0</x:v>
      </x:c>
      <x:c r="K7" s="9" t="n">
        <x:f>IF(G7=0,0,J7/G7)</x:f>
        <x:v>0</x:v>
      </x:c>
      <x:c r="L7" s="9" t="n">
        <x:f>I7+K7</x:f>
        <x:v>13.15</x:v>
      </x:c>
      <x:c r="M7" s="9" t="n">
        <x:f>L7*F7</x:f>
        <x:v>26.3</x:v>
      </x:c>
      <x:c r="N7" s="9" t="n">
        <x:v>3.7</x:v>
      </x:c>
      <x:c r="O7" s="9" t="n">
        <x:v>54.7</x:v>
      </x:c>
      <x:c r="P7" s="11" t="str">
        <x:v>https://img.kwcdn.com/product/fancy/25a2da28-7abd-47d3-a052-d2db101d3a74.jpg?imageView2/2/w/300/q/70/format/avif</x:v>
      </x:c>
      <x:c r="Q7" s="11" t="str">
        <x:v>https://www.temu.com/bgt_order_receipt.html?parent_order_sn=PO-211-16912618383990601</x:v>
      </x:c>
    </x:row>
    <x:row r="8" ht="48" customHeight="1">
      <x:c r="A8" s="6" t="e">
        <x:f>IMAGE(P8)</x:f>
        <x:v>IMAGE is not implemented. source=https://img.kwcdn.com/product/fancy/bcd5b934-f719-4d04-bf8a-e885ba3ad71e.jpg?imageView2/2/w/300/q/70/format/avif, altText=undefined, sizing=undefined, height=undefined, width=undefined</x:v>
      </x:c>
      <x:c r="B8" s="7" t="n">
        <x:v>46215</x:v>
      </x:c>
      <x:c r="C8" s="6" t="str">
        <x:v>PO-211-16912618383990601</x:v>
      </x:c>
      <x:c r="D8" s="10" t="str">
        <x:v>24pcs Assorted Capybara Squishy Toys, Slow Rising Squeeze Toys, Easter Gifts, Party Favors, Goodie Bag Fillers, Gift Box Fillers, Basket Fillers, Carnival Gifts, Classroom Rewards – Assorted Varieties</x:v>
      </x:c>
      <x:c r="E8" s="10" t="str">
        <x:v>24pcs</x:v>
      </x:c>
      <x:c r="F8" s="8" t="n">
        <x:v>1</x:v>
      </x:c>
      <x:c r="G8" s="8" t="n">
        <x:v>5</x:v>
      </x:c>
      <x:c r="H8" s="9" t="n">
        <x:v>17.69</x:v>
      </x:c>
      <x:c r="I8" s="9" t="n">
        <x:v>15.04</x:v>
      </x:c>
      <x:c r="J8" s="9" t="n">
        <x:v>0</x:v>
      </x:c>
      <x:c r="K8" s="9" t="n">
        <x:f>IF(G8=0,0,J8/G8)</x:f>
        <x:v>0</x:v>
      </x:c>
      <x:c r="L8" s="9" t="n">
        <x:f>I8+K8</x:f>
        <x:v>15.04</x:v>
      </x:c>
      <x:c r="M8" s="9" t="n">
        <x:f>L8*F8</x:f>
        <x:v>15.04</x:v>
      </x:c>
      <x:c r="N8" s="9" t="n">
        <x:v>3.7</x:v>
      </x:c>
      <x:c r="O8" s="9" t="n">
        <x:v>54.7</x:v>
      </x:c>
      <x:c r="P8" s="11" t="str">
        <x:v>https://img.kwcdn.com/product/fancy/bcd5b934-f719-4d04-bf8a-e885ba3ad71e.jpg?imageView2/2/w/300/q/70/format/avif</x:v>
      </x:c>
      <x:c r="Q8" s="11" t="str">
        <x:v>https://www.temu.com/bgt_order_receipt.html?parent_order_sn=PO-211-16912618383990601</x:v>
      </x:c>
    </x:row>
    <x:row r="9" ht="48" customHeight="1">
      <x:c r="A9" s="6" t="e">
        <x:f>IMAGE(P9)</x:f>
        <x:v>IMAGE is not implemented. source=https://img.kwcdn.com/product/fancy/1b0b60ee-9b46-485c-8a67-5a54ef68a861.jpg?imageView2/2/w/300/q/70/format/avif, altText=undefined, sizing=undefined, height=undefined, width=undefined</x:v>
      </x:c>
      <x:c r="B9" s="7" t="n">
        <x:v>46215</x:v>
      </x:c>
      <x:c r="C9" s="6" t="str">
        <x:v>PO-211-16912618383990601</x:v>
      </x:c>
      <x:c r="D9" s="10" t="str">
        <x:v>25/50pcs Mini Elastic Sticky Palm Toys, Funny Prank Toys, Fun Interactive Toys, Colorful Rubber Fingers, Perfect for Party Gifts, Sensory Gift Bag Fillers, Classroom Prizes, Toy Gift Bags. Random Color</x:v>
      </x:c>
      <x:c r="E9" s="10" t="str">
        <x:v>50pcs (random Color)</x:v>
      </x:c>
      <x:c r="F9" s="8" t="n">
        <x:v>2</x:v>
      </x:c>
      <x:c r="G9" s="8" t="n">
        <x:v>5</x:v>
      </x:c>
      <x:c r="H9" s="9" t="n">
        <x:v>4.83</x:v>
      </x:c>
      <x:c r="I9" s="9" t="n">
        <x:v>4.83</x:v>
      </x:c>
      <x:c r="J9" s="9" t="n">
        <x:v>0</x:v>
      </x:c>
      <x:c r="K9" s="9" t="n">
        <x:f>IF(G9=0,0,J9/G9)</x:f>
        <x:v>0</x:v>
      </x:c>
      <x:c r="L9" s="9" t="n">
        <x:f>I9+K9</x:f>
        <x:v>4.83</x:v>
      </x:c>
      <x:c r="M9" s="9" t="n">
        <x:f>L9*F9</x:f>
        <x:v>9.66</x:v>
      </x:c>
      <x:c r="N9" s="9" t="n">
        <x:v>3.7</x:v>
      </x:c>
      <x:c r="O9" s="9" t="n">
        <x:v>54.7</x:v>
      </x:c>
      <x:c r="P9" s="11" t="str">
        <x:v>https://img.kwcdn.com/product/fancy/1b0b60ee-9b46-485c-8a67-5a54ef68a861.jpg?imageView2/2/w/300/q/70/format/avif</x:v>
      </x:c>
      <x:c r="Q9" s="11" t="str">
        <x:v>https://www.temu.com/bgt_order_receipt.html?parent_order_sn=PO-211-16912618383990601</x:v>
      </x:c>
    </x:row>
    <x:row r="10" ht="48" customHeight="1">
      <x:c r="A10" s="6" t="e">
        <x:f>IMAGE(P10)</x:f>
        <x:v>IMAGE is not implemented. source=https://img.kwcdn.com/product/open/d2a5d970186f40ce9ff8eadf3689fd1d-goods.jpeg?imageView2/2/w/300/q/70/format/avif, altText=undefined, sizing=undefined, height=undefined, width=undefined</x:v>
      </x:c>
      <x:c r="B10" s="7" t="n">
        <x:v>46215</x:v>
      </x:c>
      <x:c r="C10" s="6" t="str">
        <x:v>PO-211-16912770427510601</x:v>
      </x:c>
      <x:c r="D10" s="10" t="str">
        <x:v>SYNCFUN 50pcs Mini Mochi Squishy Collection Perfect for Easter Eggs, Mochi for party Gifts for Egg Hunts, Fillers for Easter Baskets, Toys for Party Favors, Supplies for Easter Prizes, Gifts for Halloween Parties, Ideal for Children</x:v>
      </x:c>
      <x:c r="E10" s="10" t="str">
        <x:v>50</x:v>
      </x:c>
      <x:c r="F10" s="8" t="n">
        <x:v>3</x:v>
      </x:c>
      <x:c r="G10" s="8" t="n">
        <x:v>3</x:v>
      </x:c>
      <x:c r="H10" s="9" t="n">
        <x:v>11.21</x:v>
      </x:c>
      <x:c r="I10" s="9" t="n">
        <x:v>11.21</x:v>
      </x:c>
      <x:c r="J10" s="9" t="n">
        <x:v>0</x:v>
      </x:c>
      <x:c r="K10" s="9" t="n">
        <x:f>IF(G10=0,0,J10/G10)</x:f>
        <x:v>0</x:v>
      </x:c>
      <x:c r="L10" s="9" t="n">
        <x:f>I10+K10</x:f>
        <x:v>11.21</x:v>
      </x:c>
      <x:c r="M10" s="9" t="n">
        <x:f>L10*F10</x:f>
        <x:v>33.63</x:v>
      </x:c>
      <x:c r="N10" s="9" t="n">
        <x:v>2.44</x:v>
      </x:c>
      <x:c r="O10" s="9" t="n">
        <x:v>36.07</x:v>
      </x:c>
      <x:c r="P10" s="11" t="str">
        <x:v>https://img.kwcdn.com/product/open/d2a5d970186f40ce9ff8eadf3689fd1d-goods.jpeg?imageView2/2/w/300/q/70/format/avif</x:v>
      </x:c>
      <x:c r="Q10" s="11" t="str">
        <x:v>https://www.temu.com/bgt_order_receipt.html?parent_order_sn=PO-211-16912770427510601</x:v>
      </x:c>
    </x:row>
    <x:row r="11" ht="48" customHeight="1">
      <x:c r="A11" s="6" t="e">
        <x:f>IMAGE(P11)</x:f>
        <x:v>IMAGE is not implemented. source=https://img.kwcdn.com/product/open/52577114a7cd47489c5b6872a0633e7e-goods.jpeg?imageView2/2/w/300/q/70/format/avif, altText=undefined, sizing=undefined, height=undefined, width=undefined</x:v>
      </x:c>
      <x:c r="B11" s="7" t="n">
        <x:v>46182</x:v>
      </x:c>
      <x:c r="C11" s="6" t="str">
        <x:v>PO-211-05573900964470601</x:v>
      </x:c>
      <x:c r="D11" s="10" t="str">
        <x:v>Sanrio 48-Pack, High-Value ST Pusher, Gel Pen, Zebra Clip, School Supplies, Cute Stationery, Colored Pen, Stationery, Writing Pen</x:v>
      </x:c>
      <x:c r="E11" s="10" t="str">
        <x:v>48pcs</x:v>
      </x:c>
      <x:c r="F11" s="8" t="n">
        <x:v>2</x:v>
      </x:c>
      <x:c r="G11" s="8" t="n">
        <x:v>2</x:v>
      </x:c>
      <x:c r="H11" s="9" t="n">
        <x:v>16.5</x:v>
      </x:c>
      <x:c r="I11" s="9" t="n">
        <x:v>13.53</x:v>
      </x:c>
      <x:c r="J11" s="9" t="n">
        <x:v>0</x:v>
      </x:c>
      <x:c r="K11" s="9" t="n">
        <x:f>IF(G11=0,0,J11/G11)</x:f>
        <x:v>0</x:v>
      </x:c>
      <x:c r="L11" s="9" t="n">
        <x:f>I11+K11</x:f>
        <x:v>13.53</x:v>
      </x:c>
      <x:c r="M11" s="9" t="n">
        <x:f>L11*F11</x:f>
        <x:v>27.06</x:v>
      </x:c>
      <x:c r="N11" s="9" t="n">
        <x:v>1.96</x:v>
      </x:c>
      <x:c r="O11" s="9" t="n">
        <x:v>29.02</x:v>
      </x:c>
      <x:c r="P11" s="11" t="str">
        <x:v>https://img.kwcdn.com/product/open/52577114a7cd47489c5b6872a0633e7e-goods.jpeg?imageView2/2/w/300/q/70/format/avif</x:v>
      </x:c>
      <x:c r="Q11" s="11" t="str">
        <x:v>https://www.temu.com/bgt_order_receipt.html?parent_order_sn=PO-211-05573900964470601</x:v>
      </x:c>
    </x:row>
    <x:row r="12" ht="48" customHeight="1">
      <x:c r="A12" s="6" t="e">
        <x:f>IMAGE(P12)</x:f>
        <x:v>IMAGE is not implemented. source=https://img.kwcdn.com/product/fancy/c0bbf23c-86d3-47ba-ad4d-6f8533129e7c.jpg?imageView2/2/w/300/q/70/format/avif, altText=undefined, sizing=undefined, height=undefined, width=undefined</x:v>
      </x:c>
      <x:c r="B12" s="7" t="n">
        <x:v>46182</x:v>
      </x:c>
      <x:c r="C12" s="6" t="str">
        <x:v>PO-211-05573942907510601</x:v>
      </x:c>
      <x:c r="D12" s="10" t="str">
        <x:v>50pcs - Cute Q-Version Stegosaurus, Fun Design, Birthday Gift, Party Souvenir, Bright Colors, Fun Design - Indoor/Outdoor Use, Suitable for Office Decoration And Holiday Gifts, Car Decoration, Desktop Statue, Party Gift, Christmas Gift Ideal for 18+</x:v>
      </x:c>
      <x:c r="E12" s="10" t="str">
        <x:v>50pcs</x:v>
      </x:c>
      <x:c r="F12" s="8" t="n">
        <x:v>3</x:v>
      </x:c>
      <x:c r="G12" s="8" t="n">
        <x:v>3</x:v>
      </x:c>
      <x:c r="H12" s="9" t="n">
        <x:v>11.13</x:v>
      </x:c>
      <x:c r="I12" s="9" t="n">
        <x:v>11.13</x:v>
      </x:c>
      <x:c r="J12" s="9" t="n">
        <x:v>0</x:v>
      </x:c>
      <x:c r="K12" s="9" t="n">
        <x:f>IF(G12=0,0,J12/G12)</x:f>
        <x:v>0</x:v>
      </x:c>
      <x:c r="L12" s="9" t="n">
        <x:f>I12+K12</x:f>
        <x:v>11.13</x:v>
      </x:c>
      <x:c r="M12" s="9" t="n">
        <x:f>L12*F12</x:f>
        <x:v>33.39</x:v>
      </x:c>
      <x:c r="N12" s="9" t="n">
        <x:v>2.42</x:v>
      </x:c>
      <x:c r="O12" s="9" t="n">
        <x:v>35.81</x:v>
      </x:c>
      <x:c r="P12" s="11" t="str">
        <x:v>https://img.kwcdn.com/product/fancy/c0bbf23c-86d3-47ba-ad4d-6f8533129e7c.jpg?imageView2/2/w/300/q/70/format/avif</x:v>
      </x:c>
      <x:c r="Q12" s="11" t="str">
        <x:v>https://www.temu.com/bgt_order_receipt.html?parent_order_sn=PO-211-05573942907510601</x:v>
      </x:c>
    </x:row>
    <x:row r="13" ht="48" customHeight="1">
      <x:c r="A13" s="6" t="e">
        <x:f>IMAGE(P13)</x:f>
        <x:v>IMAGE is not implemented. source=https://img.kwcdn.com/product/fancy/f181b728-76f6-4263-b28a-856ec793600f.jpg?imageView2/2/w/300/q/70/format/avif, altText=undefined, sizing=undefined, height=undefined, width=undefined</x:v>
      </x:c>
      <x:c r="B13" s="7" t="n">
        <x:v>46182</x:v>
      </x:c>
      <x:c r="C13" s="6" t="str">
        <x:v>PO-211-05573984850550601</x:v>
      </x:c>
      <x:c r="D13" s="10" t="str">
        <x:v>50pcs Colorful Caterpillar Fidget Toys, Stretchy TPR Rope For Relax, Sensory Stress Relief Toys, Halloween Prank Props, Birthday Christmas Gift, Goodie Bag Stuffers, Classroom Prizes, Party Favor</x:v>
      </x:c>
      <x:c r="E13" s="10" t="str">
        <x:v>50pcs/set</x:v>
      </x:c>
      <x:c r="F13" s="8" t="n">
        <x:v>1</x:v>
      </x:c>
      <x:c r="G13" s="8" t="n">
        <x:v>1</x:v>
      </x:c>
      <x:c r="H13" s="9" t="n">
        <x:v>5.57</x:v>
      </x:c>
      <x:c r="I13" s="9" t="n">
        <x:v>5.57</x:v>
      </x:c>
      <x:c r="J13" s="9" t="n">
        <x:v>2.99</x:v>
      </x:c>
      <x:c r="K13" s="9" t="n">
        <x:f>IF(G13=0,0,J13/G13)</x:f>
        <x:v>2.99</x:v>
      </x:c>
      <x:c r="L13" s="9" t="n">
        <x:f>I13+K13</x:f>
        <x:v>8.56</x:v>
      </x:c>
      <x:c r="M13" s="9" t="n">
        <x:f>L13*F13</x:f>
        <x:v>8.56</x:v>
      </x:c>
      <x:c r="N13" s="9" t="n">
        <x:v>0.4</x:v>
      </x:c>
      <x:c r="O13" s="9" t="n">
        <x:v>8.96</x:v>
      </x:c>
      <x:c r="P13" s="11" t="str">
        <x:v>https://img.kwcdn.com/product/fancy/f181b728-76f6-4263-b28a-856ec793600f.jpg?imageView2/2/w/300/q/70/format/avif</x:v>
      </x:c>
      <x:c r="Q13" s="11" t="str">
        <x:v>https://www.temu.com/bgt_order_receipt.html?parent_order_sn=PO-211-05573984850550601</x:v>
      </x:c>
    </x:row>
    <x:row r="14" ht="48" customHeight="1">
      <x:c r="A14" s="6" t="e">
        <x:f>IMAGE(P14)</x:f>
        <x:v>IMAGE is not implemented. source=https://img.kwcdn.com/product/fancy/97f2778d-48ed-408d-a844-48ccd78cc4d7.jpg?imageView2/2/w/300/q/70/format/avif, altText=undefined, sizing=undefined, height=undefined, width=undefined</x:v>
      </x:c>
      <x:c r="B14" s="7" t="n">
        <x:v>46182</x:v>
      </x:c>
      <x:c r="C14" s="6" t="str">
        <x:v>PO-211-05574026793590601</x:v>
      </x:c>
      <x:c r="D14" s="10" t="str">
        <x:v>60pcs 3D Printed Lizards, 3D Printed Animal Figurines, 3D Printed Animal Figurines Set, Articulated, Party Favors, Pocket Fidget Bulk, Goodie Bag Stuffers, Carnival Prizes Rewards, Classroom Rewards</x:v>
      </x:c>
      <x:c r="E14" s="10" t="str">
        <x:v>60</x:v>
      </x:c>
      <x:c r="F14" s="8" t="n">
        <x:v>2</x:v>
      </x:c>
      <x:c r="G14" s="8" t="n">
        <x:v>2</x:v>
      </x:c>
      <x:c r="H14" s="9" t="n">
        <x:v>4.2</x:v>
      </x:c>
      <x:c r="I14" s="9" t="n">
        <x:v>3.99</x:v>
      </x:c>
      <x:c r="J14" s="9" t="n">
        <x:v>2.99</x:v>
      </x:c>
      <x:c r="K14" s="9" t="n">
        <x:f>IF(G14=0,0,J14/G14)</x:f>
        <x:v>1.495</x:v>
      </x:c>
      <x:c r="L14" s="9" t="n">
        <x:f>I14+K14</x:f>
        <x:v>5.485</x:v>
      </x:c>
      <x:c r="M14" s="9" t="n">
        <x:f>L14*F14</x:f>
        <x:v>10.97</x:v>
      </x:c>
      <x:c r="N14" s="9" t="n">
        <x:v>0.58</x:v>
      </x:c>
      <x:c r="O14" s="9" t="n">
        <x:v>11.55</x:v>
      </x:c>
      <x:c r="P14" s="11" t="str">
        <x:v>https://img.kwcdn.com/product/fancy/97f2778d-48ed-408d-a844-48ccd78cc4d7.jpg?imageView2/2/w/300/q/70/format/avif</x:v>
      </x:c>
      <x:c r="Q14" s="11" t="str">
        <x:v>https://www.temu.com/bgt_order_receipt.html?parent_order_sn=PO-211-05574026793590601</x:v>
      </x:c>
    </x:row>
    <x:row r="15" ht="48" customHeight="1">
      <x:c r="A15" s="6" t="e">
        <x:f>IMAGE(P15)</x:f>
        <x:v>IMAGE is not implemented. source=https://img.kwcdn.com/product/fancy/1484df82-1c94-4dfe-ae0c-8e6a01fde7d7.jpg?imageView2/2/w/300/q/70/format/avif, altText=undefined, sizing=undefined, height=undefined, width=undefined</x:v>
      </x:c>
      <x:c r="B15" s="7" t="n">
        <x:v>46182</x:v>
      </x:c>
      <x:c r="C15" s="6" t="str">
        <x:v>PO-211-05574053007990601</x:v>
      </x:c>
      <x:c r="D15" s="10" t="str">
        <x:v>Fun Alien Scifi Badge Set of 4: Cute Cartoon Pins, Trendy Play Additions</x:v>
      </x:c>
      <x:c r="E15" s="10" t="str">
        <x:v>4pcs</x:v>
      </x:c>
      <x:c r="F15" s="8" t="n">
        <x:v>1</x:v>
      </x:c>
      <x:c r="G15" s="8" t="n">
        <x:v>4</x:v>
      </x:c>
      <x:c r="H15" s="9" t="n">
        <x:v>5.08</x:v>
      </x:c>
      <x:c r="I15" s="9" t="n">
        <x:v>3.81</x:v>
      </x:c>
      <x:c r="J15" s="9" t="n">
        <x:v>0</x:v>
      </x:c>
      <x:c r="K15" s="9" t="n">
        <x:f>IF(G15=0,0,J15/G15)</x:f>
        <x:v>0</x:v>
      </x:c>
      <x:c r="L15" s="9" t="n">
        <x:f>I15+K15</x:f>
        <x:v>3.81</x:v>
      </x:c>
      <x:c r="M15" s="9" t="n">
        <x:f>L15*F15</x:f>
        <x:v>3.81</x:v>
      </x:c>
      <x:c r="N15" s="9" t="n">
        <x:v>2.99</x:v>
      </x:c>
      <x:c r="O15" s="9" t="n">
        <x:v>44.16</x:v>
      </x:c>
      <x:c r="P15" s="11" t="str">
        <x:v>https://img.kwcdn.com/product/fancy/1484df82-1c94-4dfe-ae0c-8e6a01fde7d7.jpg?imageView2/2/w/300/q/70/format/avif</x:v>
      </x:c>
      <x:c r="Q15" s="11" t="str">
        <x:v>https://www.temu.com/bgt_order_receipt.html?parent_order_sn=PO-211-05574053007990601</x:v>
      </x:c>
    </x:row>
    <x:row r="16" ht="48" customHeight="1">
      <x:c r="A16" s="6" t="e">
        <x:f>IMAGE(P16)</x:f>
        <x:v>IMAGE is not implemented. source=https://img.kwcdn.com/product/fancy/3ada55cf-e954-4826-8923-991e7f78fcc9.jpg?imageView2/2/w/300/q/70/format/avif, altText=undefined, sizing=undefined, height=undefined, width=undefined</x:v>
      </x:c>
      <x:c r="B16" s="7" t="n">
        <x:v>46182</x:v>
      </x:c>
      <x:c r="C16" s="6" t="str">
        <x:v>PO-211-05574053007990601</x:v>
      </x:c>
      <x:c r="D16" s="10" t="str">
        <x:v>Custom Outdoor Feather Flag Banner, Feather Flag Banner, Double-Sided Personalized Printing of Your Image, Suitable for Various Outdoor Events And Advertising Promotions</x:v>
      </x:c>
      <x:c r="E16" s="10" t="str">
        <x:v>Knife-shaped (flag only, no other accessories included)</x:v>
      </x:c>
      <x:c r="F16" s="8" t="n">
        <x:v>1</x:v>
      </x:c>
      <x:c r="G16" s="8" t="n">
        <x:v>4</x:v>
      </x:c>
      <x:c r="H16" s="9" t="n">
        <x:v>16.53</x:v>
      </x:c>
      <x:c r="I16" s="9" t="n">
        <x:v>13.23</x:v>
      </x:c>
      <x:c r="J16" s="9" t="n">
        <x:v>0</x:v>
      </x:c>
      <x:c r="K16" s="9" t="n">
        <x:f>IF(G16=0,0,J16/G16)</x:f>
        <x:v>0</x:v>
      </x:c>
      <x:c r="L16" s="9" t="n">
        <x:f>I16+K16</x:f>
        <x:v>13.23</x:v>
      </x:c>
      <x:c r="M16" s="9" t="n">
        <x:f>L16*F16</x:f>
        <x:v>13.23</x:v>
      </x:c>
      <x:c r="N16" s="9" t="n">
        <x:v>2.99</x:v>
      </x:c>
      <x:c r="O16" s="9" t="n">
        <x:v>44.16</x:v>
      </x:c>
      <x:c r="P16" s="11" t="str">
        <x:v>https://img.kwcdn.com/product/fancy/3ada55cf-e954-4826-8923-991e7f78fcc9.jpg?imageView2/2/w/300/q/70/format/avif</x:v>
      </x:c>
      <x:c r="Q16" s="11" t="str">
        <x:v>https://www.temu.com/bgt_order_receipt.html?parent_order_sn=PO-211-05574053007990601</x:v>
      </x:c>
    </x:row>
    <x:row r="17" ht="48" customHeight="1">
      <x:c r="A17" s="6" t="e">
        <x:f>IMAGE(P17)</x:f>
        <x:v>IMAGE is not implemented. source=https://img.kwcdn.com/product/fancy/3ada55cf-e954-4826-8923-991e7f78fcc9.jpg?imageView2/2/w/300/q/70/format/avif, altText=undefined, sizing=undefined, height=undefined, width=undefined</x:v>
      </x:c>
      <x:c r="B17" s="7" t="n">
        <x:v>46182</x:v>
      </x:c>
      <x:c r="C17" s="6" t="str">
        <x:v>PO-211-05574053007990601</x:v>
      </x:c>
      <x:c r="D17" s="10" t="str">
        <x:v>Custom Outdoor Feather Flag Banner, Feather Flag Banner, Double-Sided Personalized Printing of Your Image, Suitable for Various Outdoor Events And Advertising Promotions</x:v>
      </x:c>
      <x:c r="E17" s="10" t="str">
        <x:v>Knife-shaped (flag only, no other accessories included)</x:v>
      </x:c>
      <x:c r="F17" s="8" t="n">
        <x:v>1</x:v>
      </x:c>
      <x:c r="G17" s="8" t="n">
        <x:v>4</x:v>
      </x:c>
      <x:c r="H17" s="9" t="n">
        <x:v>16.53</x:v>
      </x:c>
      <x:c r="I17" s="9" t="n">
        <x:v>16.53</x:v>
      </x:c>
      <x:c r="J17" s="9" t="n">
        <x:v>0</x:v>
      </x:c>
      <x:c r="K17" s="9" t="n">
        <x:f>IF(G17=0,0,J17/G17)</x:f>
        <x:v>0</x:v>
      </x:c>
      <x:c r="L17" s="9" t="n">
        <x:f>I17+K17</x:f>
        <x:v>16.53</x:v>
      </x:c>
      <x:c r="M17" s="9" t="n">
        <x:f>L17*F17</x:f>
        <x:v>16.53</x:v>
      </x:c>
      <x:c r="N17" s="9" t="n">
        <x:v>2.99</x:v>
      </x:c>
      <x:c r="O17" s="9" t="n">
        <x:v>44.16</x:v>
      </x:c>
      <x:c r="P17" s="11" t="str">
        <x:v>https://img.kwcdn.com/product/fancy/3ada55cf-e954-4826-8923-991e7f78fcc9.jpg?imageView2/2/w/300/q/70/format/avif</x:v>
      </x:c>
      <x:c r="Q17" s="11" t="str">
        <x:v>https://www.temu.com/bgt_order_receipt.html?parent_order_sn=PO-211-05574053007990601</x:v>
      </x:c>
    </x:row>
    <x:row r="18" ht="48" customHeight="1">
      <x:c r="A18" s="6" t="e">
        <x:f>IMAGE(P18)</x:f>
        <x:v>IMAGE is not implemented. source=https://img.kwcdn.com/product/open/5508597e66df46c2b5871365c994183a-goods.jpeg?imageView2/2/w/300/q/70/format/avif, altText=undefined, sizing=undefined, height=undefined, width=undefined</x:v>
      </x:c>
      <x:c r="B18" s="7" t="n">
        <x:v>46182</x:v>
      </x:c>
      <x:c r="C18" s="6" t="str">
        <x:v>PO-211-05574053007990601</x:v>
      </x:c>
      <x:c r="D18" s="10" t="str">
        <x:v>1pc 5D Diamond Painting Kit Frameless Flat, 1pc Frameless Lawn Black Newfoundland Dog Diamond Art Painting Kit, 5D Mosaic Round Artificial Diamond Art Painting</x:v>
      </x:c>
      <x:c r="E18" s="10" t="str">
        <x:v>40X40cm/15.7X15.7in</x:v>
      </x:c>
      <x:c r="F18" s="8" t="n">
        <x:v>1</x:v>
      </x:c>
      <x:c r="G18" s="8" t="n">
        <x:v>4</x:v>
      </x:c>
      <x:c r="H18" s="9" t="n">
        <x:v>8.15</x:v>
      </x:c>
      <x:c r="I18" s="9" t="n">
        <x:v>7.6</x:v>
      </x:c>
      <x:c r="J18" s="9" t="n">
        <x:v>0</x:v>
      </x:c>
      <x:c r="K18" s="9" t="n">
        <x:f>IF(G18=0,0,J18/G18)</x:f>
        <x:v>0</x:v>
      </x:c>
      <x:c r="L18" s="9" t="n">
        <x:f>I18+K18</x:f>
        <x:v>7.6</x:v>
      </x:c>
      <x:c r="M18" s="9" t="n">
        <x:f>L18*F18</x:f>
        <x:v>7.6</x:v>
      </x:c>
      <x:c r="N18" s="9" t="n">
        <x:v>2.99</x:v>
      </x:c>
      <x:c r="O18" s="9" t="n">
        <x:v>44.16</x:v>
      </x:c>
      <x:c r="P18" s="11" t="str">
        <x:v>https://img.kwcdn.com/product/open/5508597e66df46c2b5871365c994183a-goods.jpeg?imageView2/2/w/300/q/70/format/avif</x:v>
      </x:c>
      <x:c r="Q18" s="11" t="str">
        <x:v>https://www.temu.com/bgt_order_receipt.html?parent_order_sn=PO-211-05574053007990601</x:v>
      </x:c>
    </x:row>
    <x:row r="19" ht="48" customHeight="1">
      <x:c r="A19" s="6" t="e">
        <x:f>IMAGE(P19)</x:f>
        <x:v>IMAGE is not implemented. source=https://img.kwcdn.com/product/fancy/a737f7d9-8dbb-4391-acc0-8b87ae168fe7.jpg?imageView2/2/w/300/q/70/format/avif, altText=undefined, sizing=undefined, height=undefined, width=undefined</x:v>
      </x:c>
      <x:c r="B19" s="7" t="n">
        <x:v>46093</x:v>
      </x:c>
      <x:c r="C19" s="6" t="str">
        <x:v>PO-211-01880346524790601</x:v>
      </x:c>
      <x:c r="D19" s="10" t="str">
        <x:v>[50pcs Vibrant Dice] 50pcs Vibrant 14mm Acrylic Dice Set | Perfect for Board Games, Parties &amp; Gaming Nights | Ideal Gift for Gamers on Halloween &amp; Christmas</x:v>
      </x:c>
      <x:c r="E19" s="10" t="str">
        <x:v>50pcs / Mixed Random</x:v>
      </x:c>
      <x:c r="F19" s="8" t="n">
        <x:v>1</x:v>
      </x:c>
      <x:c r="G19" s="8" t="n">
        <x:v>4</x:v>
      </x:c>
      <x:c r="H19" s="9" t="n">
        <x:v>5.01</x:v>
      </x:c>
      <x:c r="I19" s="9" t="n">
        <x:v>4.16</x:v>
      </x:c>
      <x:c r="J19" s="9" t="n">
        <x:v>0</x:v>
      </x:c>
      <x:c r="K19" s="9" t="n">
        <x:f>IF(G19=0,0,J19/G19)</x:f>
        <x:v>0</x:v>
      </x:c>
      <x:c r="L19" s="9" t="n">
        <x:f>I19+K19</x:f>
        <x:v>4.16</x:v>
      </x:c>
      <x:c r="M19" s="9" t="n">
        <x:f>L19*F19</x:f>
        <x:v>4.16</x:v>
      </x:c>
      <x:c r="N19" s="9" t="n">
        <x:v>1.75</x:v>
      </x:c>
      <x:c r="O19" s="9" t="n">
        <x:v>25.9</x:v>
      </x:c>
      <x:c r="P19" s="11" t="str">
        <x:v>https://img.kwcdn.com/product/fancy/a737f7d9-8dbb-4391-acc0-8b87ae168fe7.jpg?imageView2/2/w/300/q/70/format/avif</x:v>
      </x:c>
      <x:c r="Q19" s="11" t="str">
        <x:v>https://www.temu.com/bgt_order_receipt.html?parent_order_sn=PO-211-01880346524790601</x:v>
      </x:c>
    </x:row>
    <x:row r="20" ht="48" customHeight="1">
      <x:c r="A20" s="6" t="e">
        <x:f>IMAGE(P20)</x:f>
        <x:v>IMAGE is not implemented. source=https://img.kwcdn.com/product/fancy/a1da6a6e-4297-43a8-988d-8cccef6ede0d.jpg?imageView2/2/w/300/q/70/format/avif, altText=undefined, sizing=undefined, height=undefined, width=undefined</x:v>
      </x:c>
      <x:c r="B20" s="7" t="n">
        <x:v>46093</x:v>
      </x:c>
      <x:c r="C20" s="6" t="str">
        <x:v>PO-211-01880346524790601</x:v>
      </x:c>
      <x:c r="D20" s="10" t="str">
        <x:v>12/24pcs Mini Cube Puzzle Party Favors, 3x3 Magic Cube School Rewards and Student Classroom Prizes, Birthday Party Gifts Easter Christmas Stocking Stuffers, PP Material, Beginner Skill Level, Mixed Color, School Rewards|Vibrant Colors|PP Material</x:v>
      </x:c>
      <x:c r="E20" s="10" t="str">
        <x:v>24 pcs</x:v>
      </x:c>
      <x:c r="F20" s="8" t="n">
        <x:v>1</x:v>
      </x:c>
      <x:c r="G20" s="8" t="n">
        <x:v>4</x:v>
      </x:c>
      <x:c r="H20" s="9" t="n">
        <x:v>10.15</x:v>
      </x:c>
      <x:c r="I20" s="9" t="n">
        <x:v>10.15</x:v>
      </x:c>
      <x:c r="J20" s="9" t="n">
        <x:v>0</x:v>
      </x:c>
      <x:c r="K20" s="9" t="n">
        <x:f>IF(G20=0,0,J20/G20)</x:f>
        <x:v>0</x:v>
      </x:c>
      <x:c r="L20" s="9" t="n">
        <x:f>I20+K20</x:f>
        <x:v>10.15</x:v>
      </x:c>
      <x:c r="M20" s="9" t="n">
        <x:f>L20*F20</x:f>
        <x:v>10.15</x:v>
      </x:c>
      <x:c r="N20" s="9" t="n">
        <x:v>1.75</x:v>
      </x:c>
      <x:c r="O20" s="9" t="n">
        <x:v>25.9</x:v>
      </x:c>
      <x:c r="P20" s="11" t="str">
        <x:v>https://img.kwcdn.com/product/fancy/a1da6a6e-4297-43a8-988d-8cccef6ede0d.jpg?imageView2/2/w/300/q/70/format/avif</x:v>
      </x:c>
      <x:c r="Q20" s="11" t="str">
        <x:v>https://www.temu.com/bgt_order_receipt.html?parent_order_sn=PO-211-01880346524790601</x:v>
      </x:c>
    </x:row>
    <x:row r="21" ht="48" customHeight="1">
      <x:c r="A21" s="6" t="e">
        <x:f>IMAGE(P21)</x:f>
        <x:v>IMAGE is not implemented. source=https://img.kwcdn.com/product/fancy/a87b1720-a07c-4976-8305-5f43f89831a3.jpg?imageView2/2/w/300/q/70/format/avif, altText=undefined, sizing=undefined, height=undefined, width=undefined</x:v>
      </x:c>
      <x:c r="B21" s="7" t="n">
        <x:v>46093</x:v>
      </x:c>
      <x:c r="C21" s="6" t="str">
        <x:v>PO-211-01880346524790601</x:v>
      </x:c>
      <x:c r="D21" s="10" t="str">
        <x:v>[Mini Finger Skateboards] 40pcs Mini Finger Skateboards - Fun Desktop Relaxation Toys, Party Favors, Classroom Prizes, Birthday Gifts, Toy Decorations for Parties, Christmas &amp; Halloween Presents with Random Designs</x:v>
      </x:c>
      <x:c r="E21" s="10" t="str">
        <x:v>40pcs (Random pattern)</x:v>
      </x:c>
      <x:c r="F21" s="8" t="n">
        <x:v>2</x:v>
      </x:c>
      <x:c r="G21" s="8" t="n">
        <x:v>4</x:v>
      </x:c>
      <x:c r="H21" s="9" t="n">
        <x:v>7.53</x:v>
      </x:c>
      <x:c r="I21" s="9" t="n">
        <x:v>4.92</x:v>
      </x:c>
      <x:c r="J21" s="9" t="n">
        <x:v>0</x:v>
      </x:c>
      <x:c r="K21" s="9" t="n">
        <x:f>IF(G21=0,0,J21/G21)</x:f>
        <x:v>0</x:v>
      </x:c>
      <x:c r="L21" s="9" t="n">
        <x:f>I21+K21</x:f>
        <x:v>4.92</x:v>
      </x:c>
      <x:c r="M21" s="9" t="n">
        <x:f>L21*F21</x:f>
        <x:v>9.84</x:v>
      </x:c>
      <x:c r="N21" s="9" t="n">
        <x:v>1.75</x:v>
      </x:c>
      <x:c r="O21" s="9" t="n">
        <x:v>25.9</x:v>
      </x:c>
      <x:c r="P21" s="11" t="str">
        <x:v>https://img.kwcdn.com/product/fancy/a87b1720-a07c-4976-8305-5f43f89831a3.jpg?imageView2/2/w/300/q/70/format/avif</x:v>
      </x:c>
      <x:c r="Q21" s="11" t="str">
        <x:v>https://www.temu.com/bgt_order_receipt.html?parent_order_sn=PO-211-01880346524790601</x:v>
      </x:c>
    </x:row>
    <x:row r="22" ht="48" customHeight="1">
      <x:c r="A22" s="6" t="e">
        <x:f>IMAGE(P22)</x:f>
        <x:v>IMAGE is not implemented. source=https://img.kwcdn.com/product/fancy/967c84a5-0386-4446-a0bc-45b26773cc09.jpg?imageView2/2/w/300/q/70/format/avif, altText=undefined, sizing=undefined, height=undefined, width=undefined</x:v>
      </x:c>
      <x:c r="B22" s="7" t="n">
        <x:v>46090</x:v>
      </x:c>
      <x:c r="C22" s="6" t="str">
        <x:v>PO-211-15624152709750601</x:v>
      </x:c>
      <x:c r="D22" s="10" t="str">
        <x:v>[Ideal for Outdoor Fun] 24/12pcs Mixed Color Plastic Parachute Soldier Toys | Outdoor Entertainment, Interactive Games, Holiday Gift Bags Filling, Easter Christmas New Year Gifts</x:v>
      </x:c>
      <x:c r="E22" s="10" t="str">
        <x:v>Random / 24pcs</x:v>
      </x:c>
      <x:c r="F22" s="8" t="n">
        <x:v>3</x:v>
      </x:c>
      <x:c r="G22" s="8" t="n">
        <x:v>10</x:v>
      </x:c>
      <x:c r="H22" s="9" t="n">
        <x:v>6.9</x:v>
      </x:c>
      <x:c r="I22" s="9" t="n">
        <x:v>5.52</x:v>
      </x:c>
      <x:c r="J22" s="9" t="n">
        <x:v>0</x:v>
      </x:c>
      <x:c r="K22" s="9" t="n">
        <x:f>IF(G22=0,0,J22/G22)</x:f>
        <x:v>0</x:v>
      </x:c>
      <x:c r="L22" s="9" t="n">
        <x:f>I22+K22</x:f>
        <x:v>5.52</x:v>
      </x:c>
      <x:c r="M22" s="9" t="n">
        <x:f>L22*F22</x:f>
        <x:v>16.56</x:v>
      </x:c>
      <x:c r="N22" s="9" t="n">
        <x:v>3.11</x:v>
      </x:c>
      <x:c r="O22" s="9" t="n">
        <x:v>46.08</x:v>
      </x:c>
      <x:c r="P22" s="11" t="str">
        <x:v>https://img.kwcdn.com/product/fancy/967c84a5-0386-4446-a0bc-45b26773cc09.jpg?imageView2/2/w/300/q/70/format/avif</x:v>
      </x:c>
      <x:c r="Q22" s="11" t="str">
        <x:v>https://www.temu.com/bgt_order_receipt.html?parent_order_sn=PO-211-15624152709750601</x:v>
      </x:c>
    </x:row>
    <x:row r="23" ht="48" customHeight="1">
      <x:c r="A23" s="6" t="e">
        <x:f>IMAGE(P23)</x:f>
        <x:v>IMAGE is not implemented. source=https://img.kwcdn.com/product/fancy/f0ccd2e5-5021-4a0f-99b1-4e9d1c2455f7.jpg?imageView2/2/w/300/q/70/format/avif, altText=undefined, sizing=undefined, height=undefined, width=undefined</x:v>
      </x:c>
      <x:c r="B23" s="7" t="n">
        <x:v>46090</x:v>
      </x:c>
      <x:c r="C23" s="6" t="str">
        <x:v>PO-211-15624152709750601</x:v>
      </x:c>
      <x:c r="D23" s="10" t="str">
        <x:v>12pcs of 2D Video Game Controller Keychains, Themed Party Favors for Video Game Events, Backpack Charms, Birthday Party Gifts, And Gift Bag Fillers in Random Colors.</x:v>
      </x:c>
      <x:c r="E23" s="10" t="str">
        <x:v>Game Theme</x:v>
      </x:c>
      <x:c r="F23" s="8" t="n">
        <x:v>1</x:v>
      </x:c>
      <x:c r="G23" s="8" t="n">
        <x:v>10</x:v>
      </x:c>
      <x:c r="H23" s="9" t="n">
        <x:v>2.87</x:v>
      </x:c>
      <x:c r="I23" s="9" t="n">
        <x:v>2.87</x:v>
      </x:c>
      <x:c r="J23" s="9" t="n">
        <x:v>0</x:v>
      </x:c>
      <x:c r="K23" s="9" t="n">
        <x:f>IF(G23=0,0,J23/G23)</x:f>
        <x:v>0</x:v>
      </x:c>
      <x:c r="L23" s="9" t="n">
        <x:f>I23+K23</x:f>
        <x:v>2.87</x:v>
      </x:c>
      <x:c r="M23" s="9" t="n">
        <x:f>L23*F23</x:f>
        <x:v>2.87</x:v>
      </x:c>
      <x:c r="N23" s="9" t="n">
        <x:v>3.11</x:v>
      </x:c>
      <x:c r="O23" s="9" t="n">
        <x:v>46.08</x:v>
      </x:c>
      <x:c r="P23" s="11" t="str">
        <x:v>https://img.kwcdn.com/product/fancy/f0ccd2e5-5021-4a0f-99b1-4e9d1c2455f7.jpg?imageView2/2/w/300/q/70/format/avif</x:v>
      </x:c>
      <x:c r="Q23" s="11" t="str">
        <x:v>https://www.temu.com/bgt_order_receipt.html?parent_order_sn=PO-211-15624152709750601</x:v>
      </x:c>
    </x:row>
    <x:row r="24" ht="48" customHeight="1">
      <x:c r="A24" s="6" t="e">
        <x:f>IMAGE(P24)</x:f>
        <x:v>IMAGE is not implemented. source=https://img.kwcdn.com/product/fancy/0bb494f4-a2a0-487f-b2c8-395f438b54fd.jpg?imageView2/2/w/300/q/70/format/avif, altText=undefined, sizing=undefined, height=undefined, width=undefined</x:v>
      </x:c>
      <x:c r="B24" s="7" t="n">
        <x:v>46090</x:v>
      </x:c>
      <x:c r="C24" s="6" t="str">
        <x:v>PO-211-15624152709750601</x:v>
      </x:c>
      <x:c r="D24" s="10" t="str">
        <x:v>Collectible Figurines, Authorized 3pcs Mix And Match Sanrio Pompompurin Figurines - Adorable And Stylish Pompompurin, a Delicate Decoration Suitable for Home Decor, Car Decoration, Or Office Desk, Making It a Perfect Fashionable Gift for The Holidays</x:v>
      </x:c>
      <x:c r="E24" s="10" t="str">
        <x:v>3pcs Mix And Match</x:v>
      </x:c>
      <x:c r="F24" s="8" t="n">
        <x:v>1</x:v>
      </x:c>
      <x:c r="G24" s="8" t="n">
        <x:v>10</x:v>
      </x:c>
      <x:c r="H24" s="9" t="n">
        <x:v>3.98</x:v>
      </x:c>
      <x:c r="I24" s="9" t="n">
        <x:v>3.23</x:v>
      </x:c>
      <x:c r="J24" s="9" t="n">
        <x:v>0</x:v>
      </x:c>
      <x:c r="K24" s="9" t="n">
        <x:f>IF(G24=0,0,J24/G24)</x:f>
        <x:v>0</x:v>
      </x:c>
      <x:c r="L24" s="9" t="n">
        <x:f>I24+K24</x:f>
        <x:v>3.23</x:v>
      </x:c>
      <x:c r="M24" s="9" t="n">
        <x:f>L24*F24</x:f>
        <x:v>3.23</x:v>
      </x:c>
      <x:c r="N24" s="9" t="n">
        <x:v>3.11</x:v>
      </x:c>
      <x:c r="O24" s="9" t="n">
        <x:v>46.08</x:v>
      </x:c>
      <x:c r="P24" s="11" t="str">
        <x:v>https://img.kwcdn.com/product/fancy/0bb494f4-a2a0-487f-b2c8-395f438b54fd.jpg?imageView2/2/w/300/q/70/format/avif</x:v>
      </x:c>
      <x:c r="Q24" s="11" t="str">
        <x:v>https://www.temu.com/bgt_order_receipt.html?parent_order_sn=PO-211-15624152709750601</x:v>
      </x:c>
    </x:row>
    <x:row r="25" ht="48" customHeight="1">
      <x:c r="A25" s="6" t="e">
        <x:f>IMAGE(P25)</x:f>
        <x:v>IMAGE is not implemented. source=https://img.kwcdn.com/product/open/01c43709f6c14f0493e1728fa41b63d3-goods.jpeg?imageView2/2/w/300/q/70/format/avif, altText=undefined, sizing=undefined, height=undefined, width=undefined</x:v>
      </x:c>
      <x:c r="B25" s="7" t="n">
        <x:v>46090</x:v>
      </x:c>
      <x:c r="C25" s="6" t="str">
        <x:v>PO-211-15624152709750601</x:v>
      </x:c>
      <x:c r="D25" s="10" t="str">
        <x:v>6pcs Mixed Alloy Guitar Keychain | Cute Bass and Electric Guitar Keyring - Instrument Key Holder for Music Lovers, Cool and Handsome Style</x:v>
      </x:c>
      <x:c r="E25" s="10" t="str">
        <x:v>Mixed 6pcs</x:v>
      </x:c>
      <x:c r="F25" s="8" t="n">
        <x:v>1</x:v>
      </x:c>
      <x:c r="G25" s="8" t="n">
        <x:v>10</x:v>
      </x:c>
      <x:c r="H25" s="9" t="n">
        <x:v>5.02</x:v>
      </x:c>
      <x:c r="I25" s="9" t="n">
        <x:v>3.72</x:v>
      </x:c>
      <x:c r="J25" s="9" t="n">
        <x:v>0</x:v>
      </x:c>
      <x:c r="K25" s="9" t="n">
        <x:f>IF(G25=0,0,J25/G25)</x:f>
        <x:v>0</x:v>
      </x:c>
      <x:c r="L25" s="9" t="n">
        <x:f>I25+K25</x:f>
        <x:v>3.72</x:v>
      </x:c>
      <x:c r="M25" s="9" t="n">
        <x:f>L25*F25</x:f>
        <x:v>3.72</x:v>
      </x:c>
      <x:c r="N25" s="9" t="n">
        <x:v>3.11</x:v>
      </x:c>
      <x:c r="O25" s="9" t="n">
        <x:v>46.08</x:v>
      </x:c>
      <x:c r="P25" s="11" t="str">
        <x:v>https://img.kwcdn.com/product/open/01c43709f6c14f0493e1728fa41b63d3-goods.jpeg?imageView2/2/w/300/q/70/format/avif</x:v>
      </x:c>
      <x:c r="Q25" s="11" t="str">
        <x:v>https://www.temu.com/bgt_order_receipt.html?parent_order_sn=PO-211-15624152709750601</x:v>
      </x:c>
    </x:row>
    <x:row r="26" ht="48" customHeight="1">
      <x:c r="A26" s="6" t="e">
        <x:f>IMAGE(P26)</x:f>
        <x:v>IMAGE is not implemented. source=https://img.kwcdn.com/product/fancy/1f2d84b1-b778-43a3-bcad-5ce33dfe2605.jpg?imageView2/2/w/300/q/70/format/avif, altText=undefined, sizing=undefined, height=undefined, width=undefined</x:v>
      </x:c>
      <x:c r="B26" s="7" t="n">
        <x:v>46090</x:v>
      </x:c>
      <x:c r="C26" s="6" t="str">
        <x:v>PO-211-15624152709750601</x:v>
      </x:c>
      <x:c r="D26" s="10" t="str">
        <x:v>2.54Mm XH Connector Socket Kit, with Pre-Pressed Cables for 2/3/4/5/6/7 Pin Housings, JST Adapter Cables Compatible with JST-XH Connectors (Connectors And Sockets)</x:v>
      </x:c>
      <x:c r="E26" s="10" t="str">
        <x:v>Model Kit</x:v>
      </x:c>
      <x:c r="F26" s="8" t="n">
        <x:v>1</x:v>
      </x:c>
      <x:c r="G26" s="8" t="n">
        <x:v>10</x:v>
      </x:c>
      <x:c r="H26" s="9" t="n">
        <x:v>5.18</x:v>
      </x:c>
      <x:c r="I26" s="9" t="n">
        <x:v>5.18</x:v>
      </x:c>
      <x:c r="J26" s="9" t="n">
        <x:v>0</x:v>
      </x:c>
      <x:c r="K26" s="9" t="n">
        <x:f>IF(G26=0,0,J26/G26)</x:f>
        <x:v>0</x:v>
      </x:c>
      <x:c r="L26" s="9" t="n">
        <x:f>I26+K26</x:f>
        <x:v>5.18</x:v>
      </x:c>
      <x:c r="M26" s="9" t="n">
        <x:f>L26*F26</x:f>
        <x:v>5.18</x:v>
      </x:c>
      <x:c r="N26" s="9" t="n">
        <x:v>3.11</x:v>
      </x:c>
      <x:c r="O26" s="9" t="n">
        <x:v>46.08</x:v>
      </x:c>
      <x:c r="P26" s="11" t="str">
        <x:v>https://img.kwcdn.com/product/fancy/1f2d84b1-b778-43a3-bcad-5ce33dfe2605.jpg?imageView2/2/w/300/q/70/format/avif</x:v>
      </x:c>
      <x:c r="Q26" s="11" t="str">
        <x:v>https://www.temu.com/bgt_order_receipt.html?parent_order_sn=PO-211-15624152709750601</x:v>
      </x:c>
    </x:row>
    <x:row r="27" ht="48" customHeight="1">
      <x:c r="A27" s="6" t="e">
        <x:f>IMAGE(P27)</x:f>
        <x:v>IMAGE is not implemented. source=https://img.kwcdn.com/product/open/82a142126e7947a7b773432f75aeb493-goods.jpeg?imageView2/2/w/300/q/70/format/avif, altText=undefined, sizing=undefined, height=undefined, width=undefined</x:v>
      </x:c>
      <x:c r="B27" s="7" t="n">
        <x:v>46090</x:v>
      </x:c>
      <x:c r="C27" s="6" t="str">
        <x:v>PO-211-15624152709750601</x:v>
      </x:c>
      <x:c r="D27" s="10" t="str">
        <x:v>[12pcs JST SM 2-Pin Wire] 12pcs JST SM 2.54mm 2-Pin Terminal Wire | Male-Female Connector Adapter for LED Strip, Smart Mirror, Home Automation | Secure Connection, Seamless Integration, Highquality, Durable Nylon Insulation, Electrical Connector, Wire Terminal Block, Tech Professionals, Electronics Hobbyists</x:v>
      </x:c>
      <x:c r="E27" s="10" t="str">
        <x:v>12pcs</x:v>
      </x:c>
      <x:c r="F27" s="8" t="n">
        <x:v>1</x:v>
      </x:c>
      <x:c r="G27" s="8" t="n">
        <x:v>10</x:v>
      </x:c>
      <x:c r="H27" s="9" t="n">
        <x:v>2.51</x:v>
      </x:c>
      <x:c r="I27" s="9" t="n">
        <x:v>1.99</x:v>
      </x:c>
      <x:c r="J27" s="9" t="n">
        <x:v>0</x:v>
      </x:c>
      <x:c r="K27" s="9" t="n">
        <x:f>IF(G27=0,0,J27/G27)</x:f>
        <x:v>0</x:v>
      </x:c>
      <x:c r="L27" s="9" t="n">
        <x:f>I27+K27</x:f>
        <x:v>1.99</x:v>
      </x:c>
      <x:c r="M27" s="9" t="n">
        <x:f>L27*F27</x:f>
        <x:v>1.99</x:v>
      </x:c>
      <x:c r="N27" s="9" t="n">
        <x:v>3.11</x:v>
      </x:c>
      <x:c r="O27" s="9" t="n">
        <x:v>46.08</x:v>
      </x:c>
      <x:c r="P27" s="11" t="str">
        <x:v>https://img.kwcdn.com/product/open/82a142126e7947a7b773432f75aeb493-goods.jpeg?imageView2/2/w/300/q/70/format/avif</x:v>
      </x:c>
      <x:c r="Q27" s="11" t="str">
        <x:v>https://www.temu.com/bgt_order_receipt.html?parent_order_sn=PO-211-15624152709750601</x:v>
      </x:c>
    </x:row>
    <x:row r="28" ht="48" customHeight="1">
      <x:c r="A28" s="6" t="e">
        <x:f>IMAGE(P28)</x:f>
        <x:v>IMAGE is not implemented. source=https://img.kwcdn.com/product/fancy/ccd970a1-e304-4070-96a7-bcdd27ca6b95.jpg?imageView2/2/w/300/q/70/format/avif, altText=undefined, sizing=undefined, height=undefined, width=undefined</x:v>
      </x:c>
      <x:c r="B28" s="7" t="n">
        <x:v>46090</x:v>
      </x:c>
      <x:c r="C28" s="6" t="str">
        <x:v>PO-211-15624152709750601</x:v>
      </x:c>
      <x:c r="D28" s="10" t="str">
        <x:v>Gift for Her/Him 12pcs/24pcs, Bracelet Packs, Back to School Motivational Silicone Wristbands Black Inspirational Bracelets</x:v>
      </x:c>
      <x:c r="E28" s="10" t="str">
        <x:v>24pcs</x:v>
      </x:c>
      <x:c r="F28" s="8" t="n">
        <x:v>1</x:v>
      </x:c>
      <x:c r="G28" s="8" t="n">
        <x:v>10</x:v>
      </x:c>
      <x:c r="H28" s="9" t="n">
        <x:v>6.8</x:v>
      </x:c>
      <x:c r="I28" s="9" t="n">
        <x:v>5.31</x:v>
      </x:c>
      <x:c r="J28" s="9" t="n">
        <x:v>0</x:v>
      </x:c>
      <x:c r="K28" s="9" t="n">
        <x:f>IF(G28=0,0,J28/G28)</x:f>
        <x:v>0</x:v>
      </x:c>
      <x:c r="L28" s="9" t="n">
        <x:f>I28+K28</x:f>
        <x:v>5.31</x:v>
      </x:c>
      <x:c r="M28" s="9" t="n">
        <x:f>L28*F28</x:f>
        <x:v>5.31</x:v>
      </x:c>
      <x:c r="N28" s="9" t="n">
        <x:v>3.11</x:v>
      </x:c>
      <x:c r="O28" s="9" t="n">
        <x:v>46.08</x:v>
      </x:c>
      <x:c r="P28" s="11" t="str">
        <x:v>https://img.kwcdn.com/product/fancy/ccd970a1-e304-4070-96a7-bcdd27ca6b95.jpg?imageView2/2/w/300/q/70/format/avif</x:v>
      </x:c>
      <x:c r="Q28" s="11" t="str">
        <x:v>https://www.temu.com/bgt_order_receipt.html?parent_order_sn=PO-211-15624152709750601</x:v>
      </x:c>
    </x:row>
    <x:row r="29" ht="48" customHeight="1">
      <x:c r="A29" s="6" t="e">
        <x:f>IMAGE(P29)</x:f>
        <x:v>IMAGE is not implemented. source=https://img.kwcdn.com/product/fancy/79cd44f4-f779-4b44-a2cc-1ea590f2884f.jpg?imageView2/2/w/300/q/70/format/avif, altText=undefined, sizing=undefined, height=undefined, width=undefined</x:v>
      </x:c>
      <x:c r="B29" s="7" t="n">
        <x:v>46090</x:v>
      </x:c>
      <x:c r="C29" s="6" t="str">
        <x:v>PO-211-15624152709750601</x:v>
      </x:c>
      <x:c r="D29" s="10" t="str">
        <x:v>A 10pcs Dragon Set Featuring Fantasy Magical Dragon Sculptures, Perfect for Easter, Christmas, Halloween Decorations, Party Decor, Birthday Gifts, Surprise Little Presents, And Enchanting Themes</x:v>
      </x:c>
      <x:c r="E29" s="10" t="str">
        <x:v>10pcs</x:v>
      </x:c>
      <x:c r="F29" s="8" t="n">
        <x:v>1</x:v>
      </x:c>
      <x:c r="G29" s="8" t="n">
        <x:v>10</x:v>
      </x:c>
      <x:c r="H29" s="9" t="n">
        <x:v>4.37</x:v>
      </x:c>
      <x:c r="I29" s="9" t="n">
        <x:v>4.11</x:v>
      </x:c>
      <x:c r="J29" s="9" t="n">
        <x:v>0</x:v>
      </x:c>
      <x:c r="K29" s="9" t="n">
        <x:f>IF(G29=0,0,J29/G29)</x:f>
        <x:v>0</x:v>
      </x:c>
      <x:c r="L29" s="9" t="n">
        <x:f>I29+K29</x:f>
        <x:v>4.11</x:v>
      </x:c>
      <x:c r="M29" s="9" t="n">
        <x:f>L29*F29</x:f>
        <x:v>4.11</x:v>
      </x:c>
      <x:c r="N29" s="9" t="n">
        <x:v>3.11</x:v>
      </x:c>
      <x:c r="O29" s="9" t="n">
        <x:v>46.08</x:v>
      </x:c>
      <x:c r="P29" s="11" t="str">
        <x:v>https://img.kwcdn.com/product/fancy/79cd44f4-f779-4b44-a2cc-1ea590f2884f.jpg?imageView2/2/w/300/q/70/format/avif</x:v>
      </x:c>
      <x:c r="Q29" s="11" t="str">
        <x:v>https://www.temu.com/bgt_order_receipt.html?parent_order_sn=PO-211-15624152709750601</x:v>
      </x:c>
    </x:row>
    <x:row r="30" ht="48" customHeight="1">
      <x:c r="A30" s="6" t="e">
        <x:f>IMAGE(P30)</x:f>
        <x:v>IMAGE is not implemented. source=https://img.kwcdn.com/product/fancy/fac428bf-afe9-402f-9439-e621aa654f77.jpg?imageView2/2/w/300/q/70/format/avif, altText=undefined, sizing=undefined, height=undefined, width=undefined</x:v>
      </x:c>
      <x:c r="B30" s="7" t="n">
        <x:v>46090</x:v>
      </x:c>
      <x:c r="C30" s="6" t="str">
        <x:v>PO-211-15624236595830601</x:v>
      </x:c>
      <x:c r="D30" s="10" t="str">
        <x:v>50pcs Mini Astronaut Figurines - Multicolor Tiny Spaceman Dolls with Colorful Space Suits, Miniature Astronauts for Birthday Party Favors, Space-Themed Goodie Bag Stuffers, Classroom Prizes &amp; Pinata Fillers (50 Figures) - Role Play</x:v>
      </x:c>
      <x:c r="E30" s="10" t="str">
        <x:v>50pcs</x:v>
      </x:c>
      <x:c r="F30" s="8" t="n">
        <x:v>3</x:v>
      </x:c>
      <x:c r="G30" s="8" t="n">
        <x:v>3</x:v>
      </x:c>
      <x:c r="H30" s="9" t="n">
        <x:v>15.56</x:v>
      </x:c>
      <x:c r="I30" s="9" t="n">
        <x:v>15.56</x:v>
      </x:c>
      <x:c r="J30" s="9" t="n">
        <x:v>0</x:v>
      </x:c>
      <x:c r="K30" s="9" t="n">
        <x:f>IF(G30=0,0,J30/G30)</x:f>
        <x:v>0</x:v>
      </x:c>
      <x:c r="L30" s="9" t="n">
        <x:f>I30+K30</x:f>
        <x:v>15.56</x:v>
      </x:c>
      <x:c r="M30" s="9" t="n">
        <x:f>L30*F30</x:f>
        <x:v>46.68</x:v>
      </x:c>
      <x:c r="N30" s="9" t="n">
        <x:v>3.38</x:v>
      </x:c>
      <x:c r="O30" s="9" t="n">
        <x:v>50.06</x:v>
      </x:c>
      <x:c r="P30" s="11" t="str">
        <x:v>https://img.kwcdn.com/product/fancy/fac428bf-afe9-402f-9439-e621aa654f77.jpg?imageView2/2/w/300/q/70/format/avif</x:v>
      </x:c>
      <x:c r="Q30" s="11" t="str">
        <x:v>https://www.temu.com/bgt_order_receipt.html?parent_order_sn=PO-211-15624236595830601</x:v>
      </x:c>
    </x:row>
    <x:row r="31" ht="48" customHeight="1">
      <x:c r="A31" s="6" t="e">
        <x:f>IMAGE(P31)</x:f>
        <x:v>IMAGE is not implemented. source=https://img.kwcdn.com/product/fancy/6c5e6b0b-fead-4ee3-8383-a6d7639492db.jpg?imageView2/2/w/300/q/70/format/avif, altText=undefined, sizing=undefined, height=undefined, width=undefined</x:v>
      </x:c>
      <x:c r="B31" s="7" t="n">
        <x:v>46081</x:v>
      </x:c>
      <x:c r="C31" s="6" t="str">
        <x:v>PO-211-03254642299510601</x:v>
      </x:c>
      <x:c r="D31" s="10" t="str">
        <x:v>4/6-Arm Heavy-Duty Adjustable Welding Station with Stable Clamp Base - Heavy-Duty Metal Construction, Flexible Arms with Ergonomic Grips, Foldable &amp; Height-Adjustable Design, Self-Assembly Required for Soldering, Welding, Aviation Model Fixing</x:v>
      </x:c>
      <x:c r="E31" s="10" t="str">
        <x:v>6 Arms</x:v>
      </x:c>
      <x:c r="F31" s="8" t="n">
        <x:v>1</x:v>
      </x:c>
      <x:c r="G31" s="8" t="n">
        <x:v>1</x:v>
      </x:c>
      <x:c r="H31" s="9" t="n">
        <x:v>12.2</x:v>
      </x:c>
      <x:c r="I31" s="9" t="n">
        <x:v>12.2</x:v>
      </x:c>
      <x:c r="J31" s="9" t="n">
        <x:v>2.99</x:v>
      </x:c>
      <x:c r="K31" s="9" t="n">
        <x:f>IF(G31=0,0,J31/G31)</x:f>
        <x:v>2.99</x:v>
      </x:c>
      <x:c r="L31" s="9" t="n">
        <x:f>I31+K31</x:f>
        <x:v>15.19</x:v>
      </x:c>
      <x:c r="M31" s="9" t="n">
        <x:f>L31*F31</x:f>
        <x:v>15.19</x:v>
      </x:c>
      <x:c r="N31" s="9" t="n">
        <x:v>0.88</x:v>
      </x:c>
      <x:c r="O31" s="9" t="n">
        <x:v>16.07</x:v>
      </x:c>
      <x:c r="P31" s="11" t="str">
        <x:v>https://img.kwcdn.com/product/fancy/6c5e6b0b-fead-4ee3-8383-a6d7639492db.jpg?imageView2/2/w/300/q/70/format/avif</x:v>
      </x:c>
      <x:c r="Q31" s="11" t="str">
        <x:v>https://www.temu.com/bgt_order_receipt.html?parent_order_sn=PO-211-03254642299510601</x:v>
      </x:c>
    </x:row>
    <x:row r="32" ht="48" customHeight="1">
      <x:c r="A32" s="6" t="e">
        <x:f>IMAGE(P32)</x:f>
        <x:v>IMAGE is not implemented. source=https://img.kwcdn.com/product/fancy/ae981030-d0b9-4801-ab79-27dd3054ebf8.jpg?imageView2/2/w/300/q/70/format/avif, altText=undefined, sizing=undefined, height=undefined, width=undefined</x:v>
      </x:c>
      <x:c r="B32" s="7" t="n">
        <x:v>46081</x:v>
      </x:c>
      <x:c r="C32" s="6" t="str">
        <x:v>PO-211-03254684242550601</x:v>
      </x:c>
      <x:c r="D32" s="10" t="str">
        <x:v>15 pieces of 11.81-inch 3D printed glowing snakes, suitable for home desktop decoration and festive birthday gifts (more visible under UV light), the best combination for Christmas, New Year, and Valentine's Day party centerpieces, the best choice of</x:v>
      </x:c>
      <x:c r="E32" s="10" t="str">
        <x:v>White (luminous color effect is random) / 15Pcs</x:v>
      </x:c>
      <x:c r="F32" s="8" t="n">
        <x:v>3</x:v>
      </x:c>
      <x:c r="G32" s="8" t="n">
        <x:v>3</x:v>
      </x:c>
      <x:c r="H32" s="9" t="n">
        <x:v>11.33</x:v>
      </x:c>
      <x:c r="I32" s="9" t="n">
        <x:v>11.33</x:v>
      </x:c>
      <x:c r="J32" s="9" t="n">
        <x:v>0</x:v>
      </x:c>
      <x:c r="K32" s="9" t="n">
        <x:f>IF(G32=0,0,J32/G32)</x:f>
        <x:v>0</x:v>
      </x:c>
      <x:c r="L32" s="9" t="n">
        <x:f>I32+K32</x:f>
        <x:v>11.33</x:v>
      </x:c>
      <x:c r="M32" s="9" t="n">
        <x:f>L32*F32</x:f>
        <x:v>33.99</x:v>
      </x:c>
      <x:c r="N32" s="9" t="n">
        <x:v>2.46</x:v>
      </x:c>
      <x:c r="O32" s="9" t="n">
        <x:v>36.45</x:v>
      </x:c>
      <x:c r="P32" s="11" t="str">
        <x:v>https://img.kwcdn.com/product/fancy/ae981030-d0b9-4801-ab79-27dd3054ebf8.jpg?imageView2/2/w/300/q/70/format/avif</x:v>
      </x:c>
      <x:c r="Q32" s="11" t="str">
        <x:v>https://www.temu.com/bgt_order_receipt.html?parent_order_sn=PO-211-03254684242550601</x:v>
      </x:c>
    </x:row>
    <x:row r="33" ht="48" customHeight="1">
      <x:c r="A33" s="6" t="e">
        <x:f>IMAGE(P33)</x:f>
        <x:v>IMAGE is not implemented. source=https://img.kwcdn.com/product/fancy/0f8e3152-0b7c-4df3-bceb-33dbf682df54.jpg?imageView2/2/w/300/q/70/format/avif, altText=undefined, sizing=undefined, height=undefined, width=undefined</x:v>
      </x:c>
      <x:c r="B33" s="7" t="n">
        <x:v>46081</x:v>
      </x:c>
      <x:c r="C33" s="6" t="str">
        <x:v>PO-211-03254726185590601</x:v>
      </x:c>
      <x:c r="D33" s="10" t="str">
        <x:v>Winsons Glow in The Dark Paint, 22Ml/0.74Oz Neon Glow Acrylic Paints, 2IN1 Paint, Chargeglow &amp; UV Activated for Outdoor Rocks, Crafts, Canvas, Holiday Decorations, Christmas, Adults</x:v>
      </x:c>
      <x:c r="E33" s="10" t="str">
        <x:v>10 Colors</x:v>
      </x:c>
      <x:c r="F33" s="8" t="n">
        <x:v>1</x:v>
      </x:c>
      <x:c r="G33" s="8" t="n">
        <x:v>1</x:v>
      </x:c>
      <x:c r="H33" s="9" t="n">
        <x:v>10.67</x:v>
      </x:c>
      <x:c r="I33" s="9" t="n">
        <x:v>10.67</x:v>
      </x:c>
      <x:c r="J33" s="9" t="n">
        <x:v>2.99</x:v>
      </x:c>
      <x:c r="K33" s="9" t="n">
        <x:f>IF(G33=0,0,J33/G33)</x:f>
        <x:v>2.99</x:v>
      </x:c>
      <x:c r="L33" s="9" t="n">
        <x:f>I33+K33</x:f>
        <x:v>13.66</x:v>
      </x:c>
      <x:c r="M33" s="9" t="n">
        <x:f>L33*F33</x:f>
        <x:v>13.66</x:v>
      </x:c>
      <x:c r="N33" s="9" t="n">
        <x:v>0.77</x:v>
      </x:c>
      <x:c r="O33" s="9" t="n">
        <x:v>14.43</x:v>
      </x:c>
      <x:c r="P33" s="11" t="str">
        <x:v>https://img.kwcdn.com/product/fancy/0f8e3152-0b7c-4df3-bceb-33dbf682df54.jpg?imageView2/2/w/300/q/70/format/avif</x:v>
      </x:c>
      <x:c r="Q33" s="11" t="str">
        <x:v>https://www.temu.com/bgt_order_receipt.html?parent_order_sn=PO-211-03254726185590601</x:v>
      </x:c>
    </x:row>
    <x:row r="34" ht="48" customHeight="1">
      <x:c r="A34" s="6" t="e">
        <x:f>IMAGE(P34)</x:f>
        <x:v>IMAGE is not implemented. source=https://img.kwcdn.com/product/open/add6483bd68d41f5a6161f7dcf981d5a-goods.jpeg?imageView2/2/w/300/q/70/format/avif, altText=undefined, sizing=undefined, height=undefined, width=undefined</x:v>
      </x:c>
      <x:c r="B34" s="7" t="n">
        <x:v>46081</x:v>
      </x:c>
      <x:c r="C34" s="6" t="str">
        <x:v>PO-211-03254747157110601</x:v>
      </x:c>
      <x:c r="D34" s="10" t="str">
        <x:v>30pcs 3D Printed Random Eggshells and Random Small Animals, Ideal for Gifting, Parties, Gardens, Kitchens, Offices, Fairy Tale Worlds, Aquariums, Festival Celebrations, Car Decorations, Home Decor, and Statue Ornaments</x:v>
      </x:c>
      <x:c r="E34" s="10" t="str">
        <x:v>30pcs</x:v>
      </x:c>
      <x:c r="F34" s="8" t="n">
        <x:v>1</x:v>
      </x:c>
      <x:c r="G34" s="8" t="n">
        <x:v>12</x:v>
      </x:c>
      <x:c r="H34" s="9" t="n">
        <x:v>16.61</x:v>
      </x:c>
      <x:c r="I34" s="9" t="n">
        <x:v>14.79</x:v>
      </x:c>
      <x:c r="J34" s="9" t="n">
        <x:v>0</x:v>
      </x:c>
      <x:c r="K34" s="9" t="n">
        <x:f>IF(G34=0,0,J34/G34)</x:f>
        <x:v>0</x:v>
      </x:c>
      <x:c r="L34" s="9" t="n">
        <x:f>I34+K34</x:f>
        <x:v>14.79</x:v>
      </x:c>
      <x:c r="M34" s="9" t="n">
        <x:f>L34*F34</x:f>
        <x:v>14.79</x:v>
      </x:c>
      <x:c r="N34" s="9" t="n">
        <x:v>5.25</x:v>
      </x:c>
      <x:c r="O34" s="9" t="n">
        <x:v>77.78</x:v>
      </x:c>
      <x:c r="P34" s="11" t="str">
        <x:v>https://img.kwcdn.com/product/open/add6483bd68d41f5a6161f7dcf981d5a-goods.jpeg?imageView2/2/w/300/q/70/format/avif</x:v>
      </x:c>
      <x:c r="Q34" s="11" t="str">
        <x:v>https://www.temu.com/bgt_order_receipt.html?parent_order_sn=PO-211-03254747157110601</x:v>
      </x:c>
    </x:row>
    <x:row r="35" ht="48" customHeight="1">
      <x:c r="A35" s="6" t="e">
        <x:f>IMAGE(P35)</x:f>
        <x:v>IMAGE is not implemented. source=https://img.kwcdn.com/product/fancy/d0f37593-1517-4343-9e48-e4590ca7e780.jpg?imageView2/2/w/300/q/70/format/avif, altText=undefined, sizing=undefined, height=undefined, width=undefined</x:v>
      </x:c>
      <x:c r="B35" s="7" t="n">
        <x:v>46081</x:v>
      </x:c>
      <x:c r="C35" s="6" t="str">
        <x:v>PO-211-03254747157110601</x:v>
      </x:c>
      <x:c r="D35" s="10" t="str">
        <x:v>Xuanfengxia 3.15/3.54/4.72inch Plastic Computer Case Fans | Quiet Office Cooling Fans for Desktop Computers with Dual 4Pin+3Pin Interface, High Performance Cooling</x:v>
      </x:c>
      <x:c r="E35" s="10" t="str">
        <x:v>HEKUWD Dual Interface 4.72inch</x:v>
      </x:c>
      <x:c r="F35" s="8" t="n">
        <x:v>1</x:v>
      </x:c>
      <x:c r="G35" s="8" t="n">
        <x:v>12</x:v>
      </x:c>
      <x:c r="H35" s="9" t="n">
        <x:v>3.93</x:v>
      </x:c>
      <x:c r="I35" s="9" t="n">
        <x:v>3.93</x:v>
      </x:c>
      <x:c r="J35" s="9" t="n">
        <x:v>0</x:v>
      </x:c>
      <x:c r="K35" s="9" t="n">
        <x:f>IF(G35=0,0,J35/G35)</x:f>
        <x:v>0</x:v>
      </x:c>
      <x:c r="L35" s="9" t="n">
        <x:f>I35+K35</x:f>
        <x:v>3.93</x:v>
      </x:c>
      <x:c r="M35" s="9" t="n">
        <x:f>L35*F35</x:f>
        <x:v>3.93</x:v>
      </x:c>
      <x:c r="N35" s="9" t="n">
        <x:v>5.25</x:v>
      </x:c>
      <x:c r="O35" s="9" t="n">
        <x:v>77.78</x:v>
      </x:c>
      <x:c r="P35" s="11" t="str">
        <x:v>https://img.kwcdn.com/product/fancy/d0f37593-1517-4343-9e48-e4590ca7e780.jpg?imageView2/2/w/300/q/70/format/avif</x:v>
      </x:c>
      <x:c r="Q35" s="11" t="str">
        <x:v>https://www.temu.com/bgt_order_receipt.html?parent_order_sn=PO-211-03254747157110601</x:v>
      </x:c>
    </x:row>
    <x:row r="36" ht="48" customHeight="1">
      <x:c r="A36" s="6" t="e">
        <x:f>IMAGE(P36)</x:f>
        <x:v>IMAGE is not implemented. source=https://img.kwcdn.com/product/open/5b9b5fd9d34d43b89d92102d87f4cc95-goods.jpeg?imageView2/2/w/300/q/70/format/avif, altText=undefined, sizing=undefined, height=undefined, width=undefined</x:v>
      </x:c>
      <x:c r="B36" s="7" t="n">
        <x:v>46081</x:v>
      </x:c>
      <x:c r="C36" s="6" t="str">
        <x:v>PO-211-03254747157110601</x:v>
      </x:c>
      <x:c r="D36" s="10" t="str">
        <x:v>10 Fire-Resistant Insulated Plastic Copper Terminal Posts, Plastic Connectors</x:v>
      </x:c>
      <x:c r="E36" s="10" t="str">
        <x:v>10 Pcs</x:v>
      </x:c>
      <x:c r="F36" s="8" t="n">
        <x:v>1</x:v>
      </x:c>
      <x:c r="G36" s="8" t="n">
        <x:v>12</x:v>
      </x:c>
      <x:c r="H36" s="9" t="n">
        <x:v>2.28</x:v>
      </x:c>
      <x:c r="I36" s="9" t="n">
        <x:v>2.28</x:v>
      </x:c>
      <x:c r="J36" s="9" t="n">
        <x:v>0</x:v>
      </x:c>
      <x:c r="K36" s="9" t="n">
        <x:f>IF(G36=0,0,J36/G36)</x:f>
        <x:v>0</x:v>
      </x:c>
      <x:c r="L36" s="9" t="n">
        <x:f>I36+K36</x:f>
        <x:v>2.28</x:v>
      </x:c>
      <x:c r="M36" s="9" t="n">
        <x:f>L36*F36</x:f>
        <x:v>2.28</x:v>
      </x:c>
      <x:c r="N36" s="9" t="n">
        <x:v>5.25</x:v>
      </x:c>
      <x:c r="O36" s="9" t="n">
        <x:v>77.78</x:v>
      </x:c>
      <x:c r="P36" s="11" t="str">
        <x:v>https://img.kwcdn.com/product/open/5b9b5fd9d34d43b89d92102d87f4cc95-goods.jpeg?imageView2/2/w/300/q/70/format/avif</x:v>
      </x:c>
      <x:c r="Q36" s="11" t="str">
        <x:v>https://www.temu.com/bgt_order_receipt.html?parent_order_sn=PO-211-03254747157110601</x:v>
      </x:c>
    </x:row>
    <x:row r="37" ht="48" customHeight="1">
      <x:c r="A37" s="6" t="e">
        <x:f>IMAGE(P37)</x:f>
        <x:v>IMAGE is not implemented. source=https://img.kwcdn.com/product/open/038ce378bf7b4c1ab51e8787b130779e-goods.jpeg?imageView2/2/w/300/q/70/format/avif, altText=undefined, sizing=undefined, height=undefined, width=undefined</x:v>
      </x:c>
      <x:c r="B37" s="7" t="n">
        <x:v>46081</x:v>
      </x:c>
      <x:c r="C37" s="6" t="str">
        <x:v>PO-211-03254747157110601</x:v>
      </x:c>
      <x:c r="D37" s="10" t="str">
        <x:v>Flexible LED Strip Lights with 5V USB, Ideal for Home Decoration, Christmas, And Backlighting for Tvs And Mirrors</x:v>
      </x:c>
      <x:c r="E37" s="10" t="str">
        <x:v>0.98ft/0.3m / White</x:v>
      </x:c>
      <x:c r="F37" s="8" t="n">
        <x:v>2</x:v>
      </x:c>
      <x:c r="G37" s="8" t="n">
        <x:v>12</x:v>
      </x:c>
      <x:c r="H37" s="9" t="n">
        <x:v>2.59</x:v>
      </x:c>
      <x:c r="I37" s="9" t="n">
        <x:v>2.59</x:v>
      </x:c>
      <x:c r="J37" s="9" t="n">
        <x:v>0</x:v>
      </x:c>
      <x:c r="K37" s="9" t="n">
        <x:f>IF(G37=0,0,J37/G37)</x:f>
        <x:v>0</x:v>
      </x:c>
      <x:c r="L37" s="9" t="n">
        <x:f>I37+K37</x:f>
        <x:v>2.59</x:v>
      </x:c>
      <x:c r="M37" s="9" t="n">
        <x:f>L37*F37</x:f>
        <x:v>5.18</x:v>
      </x:c>
      <x:c r="N37" s="9" t="n">
        <x:v>5.25</x:v>
      </x:c>
      <x:c r="O37" s="9" t="n">
        <x:v>77.78</x:v>
      </x:c>
      <x:c r="P37" s="11" t="str">
        <x:v>https://img.kwcdn.com/product/open/038ce378bf7b4c1ab51e8787b130779e-goods.jpeg?imageView2/2/w/300/q/70/format/avif</x:v>
      </x:c>
      <x:c r="Q37" s="11" t="str">
        <x:v>https://www.temu.com/bgt_order_receipt.html?parent_order_sn=PO-211-03254747157110601</x:v>
      </x:c>
    </x:row>
    <x:row r="38" ht="48" customHeight="1">
      <x:c r="A38" s="6" t="e">
        <x:f>IMAGE(P38)</x:f>
        <x:v>IMAGE is not implemented. source=https://img.kwcdn.com/product/open/29e2f5dc088649ae953aedda5e8c3652-goods.jpeg?imageView2/2/w/300/q/70/format/avif, altText=undefined, sizing=undefined, height=undefined, width=undefined</x:v>
      </x:c>
      <x:c r="B38" s="7" t="n">
        <x:v>46081</x:v>
      </x:c>
      <x:c r="C38" s="6" t="str">
        <x:v>PO-211-03254747157110601</x:v>
      </x:c>
      <x:c r="D38" s="10" t="str">
        <x:v>7-Pack Heavy-Duty Versatile Alligator Clip Bracket - Bendable Design for a Variety of Industrial Applications, Durable Aluminum Construction, Premium Materials, Metal Clips</x:v>
      </x:c>
      <x:c r="E38" s="10" t="str">
        <x:v>7PCS</x:v>
      </x:c>
      <x:c r="F38" s="8" t="n">
        <x:v>1</x:v>
      </x:c>
      <x:c r="G38" s="8" t="n">
        <x:v>12</x:v>
      </x:c>
      <x:c r="H38" s="9" t="n">
        <x:v>2.81</x:v>
      </x:c>
      <x:c r="I38" s="9" t="n">
        <x:v>2.81</x:v>
      </x:c>
      <x:c r="J38" s="9" t="n">
        <x:v>0</x:v>
      </x:c>
      <x:c r="K38" s="9" t="n">
        <x:f>IF(G38=0,0,J38/G38)</x:f>
        <x:v>0</x:v>
      </x:c>
      <x:c r="L38" s="9" t="n">
        <x:f>I38+K38</x:f>
        <x:v>2.81</x:v>
      </x:c>
      <x:c r="M38" s="9" t="n">
        <x:f>L38*F38</x:f>
        <x:v>2.81</x:v>
      </x:c>
      <x:c r="N38" s="9" t="n">
        <x:v>5.25</x:v>
      </x:c>
      <x:c r="O38" s="9" t="n">
        <x:v>77.78</x:v>
      </x:c>
      <x:c r="P38" s="11" t="str">
        <x:v>https://img.kwcdn.com/product/open/29e2f5dc088649ae953aedda5e8c3652-goods.jpeg?imageView2/2/w/300/q/70/format/avif</x:v>
      </x:c>
      <x:c r="Q38" s="11" t="str">
        <x:v>https://www.temu.com/bgt_order_receipt.html?parent_order_sn=PO-211-03254747157110601</x:v>
      </x:c>
    </x:row>
    <x:row r="39" ht="48" customHeight="1">
      <x:c r="A39" s="6" t="e">
        <x:f>IMAGE(P39)</x:f>
        <x:v>IMAGE is not implemented. source=https://img.kwcdn.com/product/fancy/af32d2cc-026e-448d-95e6-3e77908547db.jpg?imageView2/2/w/300/q/70/format/avif, altText=undefined, sizing=undefined, height=undefined, width=undefined</x:v>
      </x:c>
      <x:c r="B39" s="7" t="n">
        <x:v>46081</x:v>
      </x:c>
      <x:c r="C39" s="6" t="str">
        <x:v>PO-211-03254747157110601</x:v>
      </x:c>
      <x:c r="D39" s="10" t="str">
        <x:v>Collapsible Multi-Function Electrician's Industrial Grade Wire Stripper, Durable Precision Tool for Cutting, Crimping, and Stripping - Suitable for All Electrical Work</x:v>
      </x:c>
      <x:c r="E39" s="10" t="str">
        <x:v>16 in 1 Wire Stripper</x:v>
      </x:c>
      <x:c r="F39" s="8" t="n">
        <x:v>1</x:v>
      </x:c>
      <x:c r="G39" s="8" t="n">
        <x:v>12</x:v>
      </x:c>
      <x:c r="H39" s="9" t="n">
        <x:v>4.57</x:v>
      </x:c>
      <x:c r="I39" s="9" t="n">
        <x:v>4.57</x:v>
      </x:c>
      <x:c r="J39" s="9" t="n">
        <x:v>0</x:v>
      </x:c>
      <x:c r="K39" s="9" t="n">
        <x:f>IF(G39=0,0,J39/G39)</x:f>
        <x:v>0</x:v>
      </x:c>
      <x:c r="L39" s="9" t="n">
        <x:f>I39+K39</x:f>
        <x:v>4.57</x:v>
      </x:c>
      <x:c r="M39" s="9" t="n">
        <x:f>L39*F39</x:f>
        <x:v>4.57</x:v>
      </x:c>
      <x:c r="N39" s="9" t="n">
        <x:v>5.25</x:v>
      </x:c>
      <x:c r="O39" s="9" t="n">
        <x:v>77.78</x:v>
      </x:c>
      <x:c r="P39" s="11" t="str">
        <x:v>https://img.kwcdn.com/product/fancy/af32d2cc-026e-448d-95e6-3e77908547db.jpg?imageView2/2/w/300/q/70/format/avif</x:v>
      </x:c>
      <x:c r="Q39" s="11" t="str">
        <x:v>https://www.temu.com/bgt_order_receipt.html?parent_order_sn=PO-211-03254747157110601</x:v>
      </x:c>
    </x:row>
    <x:row r="40" ht="48" customHeight="1">
      <x:c r="A40" s="6" t="e">
        <x:f>IMAGE(P40)</x:f>
        <x:v>IMAGE is not implemented. source=https://img.kwcdn.com/product/fancy/44c8ec06-0352-42ce-addc-ae904ea539e9.jpg?imageView2/2/w/300/q/70/format/avif, altText=undefined, sizing=undefined, height=undefined, width=undefined</x:v>
      </x:c>
      <x:c r="B40" s="7" t="n">
        <x:v>46081</x:v>
      </x:c>
      <x:c r="C40" s="6" t="str">
        <x:v>PO-211-03254747157110601</x:v>
      </x:c>
      <x:c r="D40" s="10" t="str">
        <x:v>A Set of 60 Fake Mustache Props, Including Various Styles And Colors to Meet Different Needs. Suitable for Party Costumes, Easy to Apply with Self-Adhesive Backing, Comfortable to Wear Without Burden, Reusable And Easy to Clean. Perfect for Various</x:v>
      </x:c>
      <x:c r="E40" s="10" t="str">
        <x:v>60pcs</x:v>
      </x:c>
      <x:c r="F40" s="8" t="n">
        <x:v>1</x:v>
      </x:c>
      <x:c r="G40" s="8" t="n">
        <x:v>12</x:v>
      </x:c>
      <x:c r="H40" s="9" t="n">
        <x:v>6.05</x:v>
      </x:c>
      <x:c r="I40" s="9" t="n">
        <x:v>6.05</x:v>
      </x:c>
      <x:c r="J40" s="9" t="n">
        <x:v>0</x:v>
      </x:c>
      <x:c r="K40" s="9" t="n">
        <x:f>IF(G40=0,0,J40/G40)</x:f>
        <x:v>0</x:v>
      </x:c>
      <x:c r="L40" s="9" t="n">
        <x:f>I40+K40</x:f>
        <x:v>6.05</x:v>
      </x:c>
      <x:c r="M40" s="9" t="n">
        <x:f>L40*F40</x:f>
        <x:v>6.05</x:v>
      </x:c>
      <x:c r="N40" s="9" t="n">
        <x:v>5.25</x:v>
      </x:c>
      <x:c r="O40" s="9" t="n">
        <x:v>77.78</x:v>
      </x:c>
      <x:c r="P40" s="11" t="str">
        <x:v>https://img.kwcdn.com/product/fancy/44c8ec06-0352-42ce-addc-ae904ea539e9.jpg?imageView2/2/w/300/q/70/format/avif</x:v>
      </x:c>
      <x:c r="Q40" s="11" t="str">
        <x:v>https://www.temu.com/bgt_order_receipt.html?parent_order_sn=PO-211-03254747157110601</x:v>
      </x:c>
    </x:row>
    <x:row r="41" ht="48" customHeight="1">
      <x:c r="A41" s="6" t="e">
        <x:f>IMAGE(P41)</x:f>
        <x:v>IMAGE is not implemented. source=https://img.kwcdn.com/product/open/800b2c2faa514170bc8e4db98056b805-goods.jpeg?imageView2/2/w/300/q/70/format/avif, altText=undefined, sizing=undefined, height=undefined, width=undefined</x:v>
      </x:c>
      <x:c r="B41" s="7" t="n">
        <x:v>46081</x:v>
      </x:c>
      <x:c r="C41" s="6" t="str">
        <x:v>PO-211-03254747157110601</x:v>
      </x:c>
      <x:c r="D41" s="10" t="str">
        <x:v>A Set of 36 3D Printed Dragon Egg Decorations - 4.92" Dragon &amp; 2.2" Egg, Vibrant Colors, Modern Style, Perfect for Desktop Display, Suitable for Home, Office, And Living Room - Ideal for Halloween, Christmas, And Festive Decorations</x:v>
      </x:c>
      <x:c r="E41" s="10" t="str">
        <x:v>36pcs</x:v>
      </x:c>
      <x:c r="F41" s="8" t="n">
        <x:v>1</x:v>
      </x:c>
      <x:c r="G41" s="8" t="n">
        <x:v>12</x:v>
      </x:c>
      <x:c r="H41" s="9" t="n">
        <x:v>20.2</x:v>
      </x:c>
      <x:c r="I41" s="9" t="n">
        <x:v>20.2</x:v>
      </x:c>
      <x:c r="J41" s="9" t="n">
        <x:v>0</x:v>
      </x:c>
      <x:c r="K41" s="9" t="n">
        <x:f>IF(G41=0,0,J41/G41)</x:f>
        <x:v>0</x:v>
      </x:c>
      <x:c r="L41" s="9" t="n">
        <x:f>I41+K41</x:f>
        <x:v>20.2</x:v>
      </x:c>
      <x:c r="M41" s="9" t="n">
        <x:f>L41*F41</x:f>
        <x:v>20.2</x:v>
      </x:c>
      <x:c r="N41" s="9" t="n">
        <x:v>5.25</x:v>
      </x:c>
      <x:c r="O41" s="9" t="n">
        <x:v>77.78</x:v>
      </x:c>
      <x:c r="P41" s="11" t="str">
        <x:v>https://img.kwcdn.com/product/open/800b2c2faa514170bc8e4db98056b805-goods.jpeg?imageView2/2/w/300/q/70/format/avif</x:v>
      </x:c>
      <x:c r="Q41" s="11" t="str">
        <x:v>https://www.temu.com/bgt_order_receipt.html?parent_order_sn=PO-211-03254747157110601</x:v>
      </x:c>
    </x:row>
    <x:row r="42" ht="48" customHeight="1">
      <x:c r="A42" s="6" t="e">
        <x:f>IMAGE(P42)</x:f>
        <x:v>IMAGE is not implemented. source=https://img.kwcdn.com/product/open/0ab984656a274cba8fecc6642197ba5e-goods.jpeg?imageView2/2/w/300/q/70/format/avif, altText=undefined, sizing=undefined, height=undefined, width=undefined</x:v>
      </x:c>
      <x:c r="B42" s="7" t="n">
        <x:v>46081</x:v>
      </x:c>
      <x:c r="C42" s="6" t="str">
        <x:v>PO-211-03254747157110601</x:v>
      </x:c>
      <x:c r="D42" s="10" t="str">
        <x:v>4pcs 3D Printed Dragons | Durable Plastic, Multi-Color, Ideal for Home Decor, Garden Ornaments, Office and Holiday Gifts for Christmas, Halloween, Thanksgiving</x:v>
      </x:c>
      <x:c r="E42" s="10" t="str">
        <x:v>4pcs Random Color</x:v>
      </x:c>
      <x:c r="F42" s="8" t="n">
        <x:v>1</x:v>
      </x:c>
      <x:c r="G42" s="8" t="n">
        <x:v>12</x:v>
      </x:c>
      <x:c r="H42" s="9" t="n">
        <x:v>3.19</x:v>
      </x:c>
      <x:c r="I42" s="9" t="n">
        <x:v>3.19</x:v>
      </x:c>
      <x:c r="J42" s="9" t="n">
        <x:v>0</x:v>
      </x:c>
      <x:c r="K42" s="9" t="n">
        <x:f>IF(G42=0,0,J42/G42)</x:f>
        <x:v>0</x:v>
      </x:c>
      <x:c r="L42" s="9" t="n">
        <x:f>I42+K42</x:f>
        <x:v>3.19</x:v>
      </x:c>
      <x:c r="M42" s="9" t="n">
        <x:f>L42*F42</x:f>
        <x:v>3.19</x:v>
      </x:c>
      <x:c r="N42" s="9" t="n">
        <x:v>5.25</x:v>
      </x:c>
      <x:c r="O42" s="9" t="n">
        <x:v>77.78</x:v>
      </x:c>
      <x:c r="P42" s="11" t="str">
        <x:v>https://img.kwcdn.com/product/open/0ab984656a274cba8fecc6642197ba5e-goods.jpeg?imageView2/2/w/300/q/70/format/avif</x:v>
      </x:c>
      <x:c r="Q42" s="11" t="str">
        <x:v>https://www.temu.com/bgt_order_receipt.html?parent_order_sn=PO-211-03254747157110601</x:v>
      </x:c>
    </x:row>
    <x:row r="43" ht="48" customHeight="1">
      <x:c r="A43" s="6" t="e">
        <x:f>IMAGE(P43)</x:f>
        <x:v>IMAGE is not implemented. source=https://img.kwcdn.com/product/fancy/c277d80e-9232-45c3-a46c-6ad9b0cddb9a.jpg?imageView2/2/w/300/q/70/format/avif, altText=undefined, sizing=undefined, height=undefined, width=undefined</x:v>
      </x:c>
      <x:c r="B43" s="7" t="n">
        <x:v>46081</x:v>
      </x:c>
      <x:c r="C43" s="6" t="str">
        <x:v>PO-211-03254747157110601</x:v>
      </x:c>
      <x:c r="D43" s="10" t="str">
        <x:v>Alien-Themed Baseball Cap - Vintage Washed Hat, Distressed Sunshade Cap Featuring a Green Alien Design, Adjustable Fit, Perfect for Halloween And Outdoor Fashion for Both Men And Women, Halloween Headwear | Playful Patterned Hat</x:v>
      </x:c>
      <x:c r="E43" s="10" t="str">
        <x:v>Green</x:v>
      </x:c>
      <x:c r="F43" s="8" t="n">
        <x:v>1</x:v>
      </x:c>
      <x:c r="G43" s="8" t="n">
        <x:v>12</x:v>
      </x:c>
      <x:c r="H43" s="9" t="n">
        <x:v>5.85</x:v>
      </x:c>
      <x:c r="I43" s="9" t="n">
        <x:v>5.85</x:v>
      </x:c>
      <x:c r="J43" s="9" t="n">
        <x:v>0</x:v>
      </x:c>
      <x:c r="K43" s="9" t="n">
        <x:f>IF(G43=0,0,J43/G43)</x:f>
        <x:v>0</x:v>
      </x:c>
      <x:c r="L43" s="9" t="n">
        <x:f>I43+K43</x:f>
        <x:v>5.85</x:v>
      </x:c>
      <x:c r="M43" s="9" t="n">
        <x:f>L43*F43</x:f>
        <x:v>5.85</x:v>
      </x:c>
      <x:c r="N43" s="9" t="n">
        <x:v>5.25</x:v>
      </x:c>
      <x:c r="O43" s="9" t="n">
        <x:v>77.78</x:v>
      </x:c>
      <x:c r="P43" s="11" t="str">
        <x:v>https://img.kwcdn.com/product/fancy/c277d80e-9232-45c3-a46c-6ad9b0cddb9a.jpg?imageView2/2/w/300/q/70/format/avif</x:v>
      </x:c>
      <x:c r="Q43" s="11" t="str">
        <x:v>https://www.temu.com/bgt_order_receipt.html?parent_order_sn=PO-211-03254747157110601</x:v>
      </x:c>
    </x:row>
    <x:row r="44" ht="48" customHeight="1">
      <x:c r="A44" s="6" t="e">
        <x:f>IMAGE(P44)</x:f>
        <x:v>IMAGE is not implemented. source=https://img.kwcdn.com/product/fancy/eb72aa97-ae03-4273-b6ea-07884ee39f87.jpg?imageView2/2/w/300/q/70/format/avif, altText=undefined, sizing=undefined, height=undefined, width=undefined</x:v>
      </x:c>
      <x:c r="B44" s="7" t="n">
        <x:v>46081</x:v>
      </x:c>
      <x:c r="C44" s="6" t="str">
        <x:v>PO-211-03254747157110601</x:v>
      </x:c>
      <x:c r="D44" s="10" t="str">
        <x:v>Set of 1/3/5 Cute Chameleons Made with 3D Printing, Featuring Expressive Eyes - Random Body And Eye Colors, Offering a Variety of Fun And Color Changes - Durable Plastic Reptile Models, Perfect for Home/Office Decor, Aquariums</x:v>
      </x:c>
      <x:c r="E44" s="10" t="str">
        <x:v>5pcs</x:v>
      </x:c>
      <x:c r="F44" s="8" t="n">
        <x:v>1</x:v>
      </x:c>
      <x:c r="G44" s="8" t="n">
        <x:v>12</x:v>
      </x:c>
      <x:c r="H44" s="9" t="n">
        <x:v>3.68</x:v>
      </x:c>
      <x:c r="I44" s="9" t="n">
        <x:v>3.68</x:v>
      </x:c>
      <x:c r="J44" s="9" t="n">
        <x:v>0</x:v>
      </x:c>
      <x:c r="K44" s="9" t="n">
        <x:f>IF(G44=0,0,J44/G44)</x:f>
        <x:v>0</x:v>
      </x:c>
      <x:c r="L44" s="9" t="n">
        <x:f>I44+K44</x:f>
        <x:v>3.68</x:v>
      </x:c>
      <x:c r="M44" s="9" t="n">
        <x:f>L44*F44</x:f>
        <x:v>3.68</x:v>
      </x:c>
      <x:c r="N44" s="9" t="n">
        <x:v>5.25</x:v>
      </x:c>
      <x:c r="O44" s="9" t="n">
        <x:v>77.78</x:v>
      </x:c>
      <x:c r="P44" s="11" t="str">
        <x:v>https://img.kwcdn.com/product/fancy/eb72aa97-ae03-4273-b6ea-07884ee39f87.jpg?imageView2/2/w/300/q/70/format/avif</x:v>
      </x:c>
      <x:c r="Q44" s="11" t="str">
        <x:v>https://www.temu.com/bgt_order_receipt.html?parent_order_sn=PO-211-03254747157110601</x:v>
      </x:c>
    </x:row>
    <x:row r="45" ht="48" customHeight="1">
      <x:c r="A45" s="6" t="e">
        <x:f>IMAGE(P45)</x:f>
        <x:v>IMAGE is not implemented. source=https://img.kwcdn.com/product/fancy/c08b8167-d65d-4cca-991c-f2635e9aad56.jpg?imageView2/2/w/300/q/70/format/avif, altText=undefined, sizing=undefined, height=undefined, width=undefined</x:v>
      </x:c>
      <x:c r="B45" s="7" t="n">
        <x:v>46028</x:v>
      </x:c>
      <x:c r="C45" s="6" t="str">
        <x:v>PO-211-21140501975670601</x:v>
      </x:c>
      <x:c r="D45" s="10" t="str">
        <x:v>200pcs Friendship Bracelets Bulk Handmade Braided String Colorful Braid Friendship Cords Strand Bracelet Party Supply Favors for Birthday Gifts Bracelet Packs</x:v>
      </x:c>
      <x:c r="E45" s="10" t="str">
        <x:v>200 Pieces</x:v>
      </x:c>
      <x:c r="F45" s="8" t="n">
        <x:v>2</x:v>
      </x:c>
      <x:c r="G45" s="8" t="n">
        <x:v>2</x:v>
      </x:c>
      <x:c r="H45" s="9" t="n">
        <x:v>12.3</x:v>
      </x:c>
      <x:c r="I45" s="9" t="n">
        <x:v>12.3</x:v>
      </x:c>
      <x:c r="J45" s="9" t="n">
        <x:v>2.99</x:v>
      </x:c>
      <x:c r="K45" s="9" t="n">
        <x:f>IF(G45=0,0,J45/G45)</x:f>
        <x:v>1.495</x:v>
      </x:c>
      <x:c r="L45" s="9" t="n">
        <x:f>I45+K45</x:f>
        <x:v>13.795000000000002</x:v>
      </x:c>
      <x:c r="M45" s="9" t="n">
        <x:f>L45*F45</x:f>
        <x:v>27.590000000000003</x:v>
      </x:c>
      <x:c r="N45" s="9" t="n">
        <x:v>1.78</x:v>
      </x:c>
      <x:c r="O45" s="9" t="n">
        <x:v>29.37</x:v>
      </x:c>
      <x:c r="P45" s="11" t="str">
        <x:v>https://img.kwcdn.com/product/fancy/c08b8167-d65d-4cca-991c-f2635e9aad56.jpg?imageView2/2/w/300/q/70/format/avif</x:v>
      </x:c>
      <x:c r="Q45" s="11" t="str">
        <x:v>https://www.temu.com/bgt_order_receipt.html?parent_order_sn=PO-211-21140501975670601</x:v>
      </x:c>
    </x:row>
    <x:row r="46" ht="48" customHeight="1">
      <x:c r="A46" s="6" t="e">
        <x:f>IMAGE(P46)</x:f>
        <x:v>IMAGE is not implemented. source=https://img.kwcdn.com/product/fancy/389fb9df-161b-411a-b008-5637edc7d451.jpg?imageView2/2/w/300/q/70/format/avif, altText=undefined, sizing=undefined, height=undefined, width=undefined</x:v>
      </x:c>
      <x:c r="B46" s="7" t="n">
        <x:v>46028</x:v>
      </x:c>
      <x:c r="C46" s="6" t="str">
        <x:v>PO-211-21140522947190601</x:v>
      </x:c>
      <x:c r="D46" s="10" t="str">
        <x:v>39-78pcs LED Glow Sticks &amp; Bracelets - 6-Color Flashing Light Up Party Favors with Glow-in-the-Dark Activation, Bulk Pack for Birthdays, Weddings, Concerts, Carnivals - No /Electricity, Durable Plastic Glow Sticks for Group Events &amp; Night Parties (M</x:v>
      </x:c>
      <x:c r="E46" s="10" t="str">
        <x:v>78 get 2 free</x:v>
      </x:c>
      <x:c r="F46" s="8" t="n">
        <x:v>1</x:v>
      </x:c>
      <x:c r="G46" s="8" t="n">
        <x:v>1</x:v>
      </x:c>
      <x:c r="H46" s="9" t="n">
        <x:v>15.82</x:v>
      </x:c>
      <x:c r="I46" s="9" t="n">
        <x:v>15.82</x:v>
      </x:c>
      <x:c r="J46" s="9" t="n">
        <x:v>2.99</x:v>
      </x:c>
      <x:c r="K46" s="9" t="n">
        <x:f>IF(G46=0,0,J46/G46)</x:f>
        <x:v>2.99</x:v>
      </x:c>
      <x:c r="L46" s="9" t="n">
        <x:f>I46+K46</x:f>
        <x:v>18.810000000000002</x:v>
      </x:c>
      <x:c r="M46" s="9" t="n">
        <x:f>L46*F46</x:f>
        <x:v>18.810000000000002</x:v>
      </x:c>
      <x:c r="N46" s="9" t="n">
        <x:v>1.15</x:v>
      </x:c>
      <x:c r="O46" s="9" t="n">
        <x:v>19.96</x:v>
      </x:c>
      <x:c r="P46" s="11" t="str">
        <x:v>https://img.kwcdn.com/product/fancy/389fb9df-161b-411a-b008-5637edc7d451.jpg?imageView2/2/w/300/q/70/format/avif</x:v>
      </x:c>
      <x:c r="Q46" s="11" t="str">
        <x:v>https://www.temu.com/bgt_order_receipt.html?parent_order_sn=PO-211-21140522947190601</x:v>
      </x:c>
    </x:row>
    <x:row r="47" ht="48" customHeight="1">
      <x:c r="A47" s="6" t="e">
        <x:f>IMAGE(P47)</x:f>
        <x:v>IMAGE is not implemented. source=https://img.kwcdn.com/product/fancy/cb294242-50e7-497e-8f7b-df096a36c227.jpg?imageView2/2/w/300/q/70/format/avif, altText=undefined, sizing=undefined, height=undefined, width=undefined</x:v>
      </x:c>
      <x:c r="B47" s="7" t="n">
        <x:v>46028</x:v>
      </x:c>
      <x:c r="C47" s="6" t="str">
        <x:v>PO-211-21140606833270601</x:v>
      </x:c>
      <x:c r="D47" s="10" t="str">
        <x:v>24pcs Sanrio Mystery Box Dolls Fun Hole Punch Activity Set Perfect for Party Favors Home Decor The contents of the box are subject to the actual product,gift for new year,Valentine's Day</x:v>
      </x:c>
      <x:c r="E47" s="10" t="str">
        <x:v>24pcs</x:v>
      </x:c>
      <x:c r="F47" s="8" t="n">
        <x:v>2</x:v>
      </x:c>
      <x:c r="G47" s="8" t="n">
        <x:v>6</x:v>
      </x:c>
      <x:c r="H47" s="9" t="n">
        <x:v>12.78</x:v>
      </x:c>
      <x:c r="I47" s="9" t="n">
        <x:v>9.59</x:v>
      </x:c>
      <x:c r="J47" s="9" t="n">
        <x:v>0</x:v>
      </x:c>
      <x:c r="K47" s="9" t="n">
        <x:f>IF(G47=0,0,J47/G47)</x:f>
        <x:v>0</x:v>
      </x:c>
      <x:c r="L47" s="9" t="n">
        <x:f>I47+K47</x:f>
        <x:v>9.59</x:v>
      </x:c>
      <x:c r="M47" s="9" t="n">
        <x:f>L47*F47</x:f>
        <x:v>19.18</x:v>
      </x:c>
      <x:c r="N47" s="9" t="n">
        <x:v>4.06</x:v>
      </x:c>
      <x:c r="O47" s="9" t="n">
        <x:v>60.16</x:v>
      </x:c>
      <x:c r="P47" s="11" t="str">
        <x:v>https://img.kwcdn.com/product/fancy/cb294242-50e7-497e-8f7b-df096a36c227.jpg?imageView2/2/w/300/q/70/format/avif</x:v>
      </x:c>
      <x:c r="Q47" s="11" t="str">
        <x:v>https://www.temu.com/bgt_order_receipt.html?parent_order_sn=PO-211-21140606833270601</x:v>
      </x:c>
    </x:row>
    <x:row r="48" ht="48" customHeight="1">
      <x:c r="A48" s="6" t="e">
        <x:f>IMAGE(P48)</x:f>
        <x:v>IMAGE is not implemented. source=https://img.kwcdn.com/product/fancy/fe5c3aeb-058c-4610-bd4f-bd8e5cf99d54.jpg?imageView2/2/w/300/q/70/format/avif, altText=undefined, sizing=undefined, height=undefined, width=undefined</x:v>
      </x:c>
      <x:c r="B48" s="7" t="n">
        <x:v>46028</x:v>
      </x:c>
      <x:c r="C48" s="6" t="str">
        <x:v>PO-211-21140606833270601</x:v>
      </x:c>
      <x:c r="D48" s="10" t="str">
        <x:v>Gift For Her/Him 24pcs Capybara Statue Keychain Set | Plastic Animal Collectibles, Keyring Packs, Perfect for Birthday, Anniversary, Graduation - Suitable for Ages 14 and Up</x:v>
      </x:c>
      <x:c r="E48" s="10" t="str">
        <x:v>24pcs/set</x:v>
      </x:c>
      <x:c r="F48" s="8" t="n">
        <x:v>2</x:v>
      </x:c>
      <x:c r="G48" s="8" t="n">
        <x:v>6</x:v>
      </x:c>
      <x:c r="H48" s="9" t="n">
        <x:v>12.69</x:v>
      </x:c>
      <x:c r="I48" s="9" t="n">
        <x:v>11.55</x:v>
      </x:c>
      <x:c r="J48" s="9" t="n">
        <x:v>0</x:v>
      </x:c>
      <x:c r="K48" s="9" t="n">
        <x:f>IF(G48=0,0,J48/G48)</x:f>
        <x:v>0</x:v>
      </x:c>
      <x:c r="L48" s="9" t="n">
        <x:f>I48+K48</x:f>
        <x:v>11.55</x:v>
      </x:c>
      <x:c r="M48" s="9" t="n">
        <x:f>L48*F48</x:f>
        <x:v>23.1</x:v>
      </x:c>
      <x:c r="N48" s="9" t="n">
        <x:v>4.06</x:v>
      </x:c>
      <x:c r="O48" s="9" t="n">
        <x:v>60.16</x:v>
      </x:c>
      <x:c r="P48" s="11" t="str">
        <x:v>https://img.kwcdn.com/product/fancy/fe5c3aeb-058c-4610-bd4f-bd8e5cf99d54.jpg?imageView2/2/w/300/q/70/format/avif</x:v>
      </x:c>
      <x:c r="Q48" s="11" t="str">
        <x:v>https://www.temu.com/bgt_order_receipt.html?parent_order_sn=PO-211-21140606833270601</x:v>
      </x:c>
    </x:row>
    <x:row r="49" ht="48" customHeight="1">
      <x:c r="A49" s="6" t="e">
        <x:f>IMAGE(P49)</x:f>
        <x:v>IMAGE is not implemented. source=https://img.kwcdn.com/product/fancy/94aa54a7-3dea-498d-a0d5-8d702f240848.jpg?imageView2/2/w/300/q/70/format/avif, altText=undefined, sizing=undefined, height=undefined, width=undefined</x:v>
      </x:c>
      <x:c r="B49" s="7" t="n">
        <x:v>46028</x:v>
      </x:c>
      <x:c r="C49" s="6" t="str">
        <x:v>PO-211-21140606833270601</x:v>
      </x:c>
      <x:c r="D49" s="10" t="str">
        <x:v>48pcs Vibrant Unicorn Slap Bracelets with Snap Bands - Colorful PVC Wristbands for Birthday Party Favors, Classroom Rewards &amp; Gifts, Birthday Party Favors|Playful Design|Pvc Construction, Unicorn Birthday Party Supplie, Halloween, Christmas</x:v>
      </x:c>
      <x:c r="E49" s="10" t="str">
        <x:v>48PCS Unicorn Bracelet</x:v>
      </x:c>
      <x:c r="F49" s="8" t="n">
        <x:v>1</x:v>
      </x:c>
      <x:c r="G49" s="8" t="n">
        <x:v>6</x:v>
      </x:c>
      <x:c r="H49" s="9" t="n">
        <x:v>9.04</x:v>
      </x:c>
      <x:c r="I49" s="9" t="n">
        <x:v>7.09</x:v>
      </x:c>
      <x:c r="J49" s="9" t="n">
        <x:v>0</x:v>
      </x:c>
      <x:c r="K49" s="9" t="n">
        <x:f>IF(G49=0,0,J49/G49)</x:f>
        <x:v>0</x:v>
      </x:c>
      <x:c r="L49" s="9" t="n">
        <x:f>I49+K49</x:f>
        <x:v>7.09</x:v>
      </x:c>
      <x:c r="M49" s="9" t="n">
        <x:f>L49*F49</x:f>
        <x:v>7.09</x:v>
      </x:c>
      <x:c r="N49" s="9" t="n">
        <x:v>4.06</x:v>
      </x:c>
      <x:c r="O49" s="9" t="n">
        <x:v>60.16</x:v>
      </x:c>
      <x:c r="P49" s="11" t="str">
        <x:v>https://img.kwcdn.com/product/fancy/94aa54a7-3dea-498d-a0d5-8d702f240848.jpg?imageView2/2/w/300/q/70/format/avif</x:v>
      </x:c>
      <x:c r="Q49" s="11" t="str">
        <x:v>https://www.temu.com/bgt_order_receipt.html?parent_order_sn=PO-211-21140606833270601</x:v>
      </x:c>
    </x:row>
    <x:row r="50" ht="48" customHeight="1">
      <x:c r="A50" s="6" t="e">
        <x:f>IMAGE(P50)</x:f>
        <x:v>IMAGE is not implemented. source=https://img.kwcdn.com/product/fancy/33506c65-46a0-4d89-937e-5025c07f7288.jpg?imageView2/2/w/300/q/70/format/avif, altText=undefined, sizing=undefined, height=undefined, width=undefined</x:v>
      </x:c>
      <x:c r="B50" s="7" t="n">
        <x:v>46028</x:v>
      </x:c>
      <x:c r="C50" s="6" t="str">
        <x:v>PO-211-21140606833270601</x:v>
      </x:c>
      <x:c r="D50" s="10" t="str">
        <x:v>48pcs Mermaid &amp; Pirate Themed Snap Bracelets - Colorful PVC Wristbands for Party Favors, Classroom Prizes, and School Gifts</x:v>
      </x:c>
      <x:c r="E50" s="10" t="str">
        <x:v>48PCS Mermaid Bracelet</x:v>
      </x:c>
      <x:c r="F50" s="8" t="n">
        <x:v>1</x:v>
      </x:c>
      <x:c r="G50" s="8" t="n">
        <x:v>6</x:v>
      </x:c>
      <x:c r="H50" s="9" t="n">
        <x:v>7.94</x:v>
      </x:c>
      <x:c r="I50" s="9" t="n">
        <x:v>6.74</x:v>
      </x:c>
      <x:c r="J50" s="9" t="n">
        <x:v>0</x:v>
      </x:c>
      <x:c r="K50" s="9" t="n">
        <x:f>IF(G50=0,0,J50/G50)</x:f>
        <x:v>0</x:v>
      </x:c>
      <x:c r="L50" s="9" t="n">
        <x:f>I50+K50</x:f>
        <x:v>6.74</x:v>
      </x:c>
      <x:c r="M50" s="9" t="n">
        <x:f>L50*F50</x:f>
        <x:v>6.74</x:v>
      </x:c>
      <x:c r="N50" s="9" t="n">
        <x:v>4.06</x:v>
      </x:c>
      <x:c r="O50" s="9" t="n">
        <x:v>60.16</x:v>
      </x:c>
      <x:c r="P50" s="11" t="str">
        <x:v>https://img.kwcdn.com/product/fancy/33506c65-46a0-4d89-937e-5025c07f7288.jpg?imageView2/2/w/300/q/70/format/avif</x:v>
      </x:c>
      <x:c r="Q50" s="11" t="str">
        <x:v>https://www.temu.com/bgt_order_receipt.html?parent_order_sn=PO-211-21140606833270601</x:v>
      </x:c>
    </x:row>
    <x:row r="51" ht="48" customHeight="1">
      <x:c r="A51" s="6" t="e">
        <x:f>IMAGE(P51)</x:f>
        <x:v>IMAGE is not implemented. source=https://img.kwcdn.com/product/open/decec921c32e45089e3e4e54e51a5985-goods.jpeg?imageView2/2/w/300/q/70/format/avif, altText=undefined, sizing=undefined, height=undefined, width=undefined</x:v>
      </x:c>
      <x:c r="B51" s="7" t="n">
        <x:v>46002</x:v>
      </x:c>
      <x:c r="C51" s="6" t="str">
        <x:v>PO-211-14612142497910601</x:v>
      </x:c>
      <x:c r="D51" s="10" t="str">
        <x:v>LED RGB Fireworks LightStrip Light With Music Sync, 36V USB Powdered, App And Remote Control, 97 Dynamic Lighting Modes, Adjustable Brightness, Easy Install, Suit For Halloween Christmas Decoration In Family Bedroom, Living Room, Bars And Parties.</x:v>
      </x:c>
      <x:c r="E51" s="10" t="str">
        <x:v>11pcs/pack</x:v>
      </x:c>
      <x:c r="F51" s="8" t="n">
        <x:v>2</x:v>
      </x:c>
      <x:c r="G51" s="8" t="n">
        <x:v>2</x:v>
      </x:c>
      <x:c r="H51" s="9" t="n">
        <x:v>8.55</x:v>
      </x:c>
      <x:c r="I51" s="9" t="n">
        <x:v>7.21</x:v>
      </x:c>
      <x:c r="J51" s="9" t="n">
        <x:v>2.99</x:v>
      </x:c>
      <x:c r="K51" s="9" t="n">
        <x:f>IF(G51=0,0,J51/G51)</x:f>
        <x:v>1.495</x:v>
      </x:c>
      <x:c r="L51" s="9" t="n">
        <x:f>I51+K51</x:f>
        <x:v>8.705</x:v>
      </x:c>
      <x:c r="M51" s="9" t="n">
        <x:f>L51*F51</x:f>
        <x:v>17.41</x:v>
      </x:c>
      <x:c r="N51" s="9" t="n">
        <x:v>1.05</x:v>
      </x:c>
      <x:c r="O51" s="9" t="n">
        <x:v>18.46</x:v>
      </x:c>
      <x:c r="P51" s="11" t="str">
        <x:v>https://img.kwcdn.com/product/open/decec921c32e45089e3e4e54e51a5985-goods.jpeg?imageView2/2/w/300/q/70/format/avif</x:v>
      </x:c>
      <x:c r="Q51" s="11" t="str">
        <x:v>https://www.temu.com/bgt_order_receipt.html?parent_order_sn=PO-211-14612142497910601</x:v>
      </x:c>
    </x:row>
    <x:row r="52" ht="48" customHeight="1">
      <x:c r="A52" s="6" t="e">
        <x:f>IMAGE(P52)</x:f>
        <x:v>IMAGE is not implemented. source=https://img.kwcdn.com/product/open/f459fa522d014b83bbca783e27dea0e1-goods.jpeg?imageView2/2/w/300/q/70/format/avif, altText=undefined, sizing=undefined, height=undefined, width=undefined</x:v>
      </x:c>
      <x:c r="B52" s="7" t="n">
        <x:v>46002</x:v>
      </x:c>
      <x:c r="C52" s="6" t="str">
        <x:v>PO-211-14612184440950601</x:v>
      </x:c>
      <x:c r="D52" s="10" t="str">
        <x:v>2D Flat, 2D Flat Rotating UFO Alien Desktop Decor with Glowing Lights - 4 Musicians Alien (Guitar, Drum, Keyboard, Microphone) Room &amp; Party Decoration, Spinning Top - Modern Glow-in-the-Dark Accessory</x:v>
      </x:c>
      <x:c r="E52" s="10" t="str">
        <x:v>A</x:v>
      </x:c>
      <x:c r="F52" s="8" t="n">
        <x:v>1</x:v>
      </x:c>
      <x:c r="G52" s="8" t="n">
        <x:v>8</x:v>
      </x:c>
      <x:c r="H52" s="9" t="n">
        <x:v>3.31</x:v>
      </x:c>
      <x:c r="I52" s="9" t="n">
        <x:v>3.31</x:v>
      </x:c>
      <x:c r="J52" s="9" t="n">
        <x:v>0</x:v>
      </x:c>
      <x:c r="K52" s="9" t="n">
        <x:f>IF(G52=0,0,J52/G52)</x:f>
        <x:v>0</x:v>
      </x:c>
      <x:c r="L52" s="9" t="n">
        <x:f>I52+K52</x:f>
        <x:v>3.31</x:v>
      </x:c>
      <x:c r="M52" s="9" t="n">
        <x:f>L52*F52</x:f>
        <x:v>3.31</x:v>
      </x:c>
      <x:c r="N52" s="9" t="n">
        <x:v>3.7</x:v>
      </x:c>
      <x:c r="O52" s="9" t="n">
        <x:v>54.63</x:v>
      </x:c>
      <x:c r="P52" s="11" t="str">
        <x:v>https://img.kwcdn.com/product/open/f459fa522d014b83bbca783e27dea0e1-goods.jpeg?imageView2/2/w/300/q/70/format/avif</x:v>
      </x:c>
      <x:c r="Q52" s="11" t="str">
        <x:v>https://www.temu.com/bgt_order_receipt.html?parent_order_sn=PO-211-14612184440950601</x:v>
      </x:c>
    </x:row>
    <x:row r="53" ht="48" customHeight="1">
      <x:c r="A53" s="6" t="e">
        <x:f>IMAGE(P53)</x:f>
        <x:v>IMAGE is not implemented. source=https://img.kwcdn.com/product/fancy/855bf897-3136-4711-a66f-8fe9b56460f9.jpg?imageView2/2/w/300/q/70/format/avif, altText=undefined, sizing=undefined, height=undefined, width=undefined</x:v>
      </x:c>
      <x:c r="B53" s="7" t="n">
        <x:v>46002</x:v>
      </x:c>
      <x:c r="C53" s="6" t="str">
        <x:v>PO-211-14612184440950601</x:v>
      </x:c>
      <x:c r="D53" s="10" t="str">
        <x:v>1pc Cute UFO And a Little Cow, Fun And Cute Funny Badge Reel Holder ID Card Retractable Clip for Nurses Nursing Teachers Office Staff</x:v>
      </x:c>
      <x:c r="E53" s="10" t="str">
        <x:v>A</x:v>
      </x:c>
      <x:c r="F53" s="8" t="n">
        <x:v>1</x:v>
      </x:c>
      <x:c r="G53" s="8" t="n">
        <x:v>8</x:v>
      </x:c>
      <x:c r="H53" s="9" t="n">
        <x:v>3.37</x:v>
      </x:c>
      <x:c r="I53" s="9" t="n">
        <x:v>1.88</x:v>
      </x:c>
      <x:c r="J53" s="9" t="n">
        <x:v>0</x:v>
      </x:c>
      <x:c r="K53" s="9" t="n">
        <x:f>IF(G53=0,0,J53/G53)</x:f>
        <x:v>0</x:v>
      </x:c>
      <x:c r="L53" s="9" t="n">
        <x:f>I53+K53</x:f>
        <x:v>1.88</x:v>
      </x:c>
      <x:c r="M53" s="9" t="n">
        <x:f>L53*F53</x:f>
        <x:v>1.88</x:v>
      </x:c>
      <x:c r="N53" s="9" t="n">
        <x:v>3.7</x:v>
      </x:c>
      <x:c r="O53" s="9" t="n">
        <x:v>54.63</x:v>
      </x:c>
      <x:c r="P53" s="11" t="str">
        <x:v>https://img.kwcdn.com/product/fancy/855bf897-3136-4711-a66f-8fe9b56460f9.jpg?imageView2/2/w/300/q/70/format/avif</x:v>
      </x:c>
      <x:c r="Q53" s="11" t="str">
        <x:v>https://www.temu.com/bgt_order_receipt.html?parent_order_sn=PO-211-14612184440950601</x:v>
      </x:c>
    </x:row>
    <x:row r="54" ht="48" customHeight="1">
      <x:c r="A54" s="6" t="e">
        <x:f>IMAGE(P54)</x:f>
        <x:v>IMAGE is not implemented. source=https://img.kwcdn.com/product/fancy/1e47c23d-486c-404b-8845-da9cbbb2fadb.jpg?imageView2/2/w/300/q/70/format/avif, altText=undefined, sizing=undefined, height=undefined, width=undefined</x:v>
      </x:c>
      <x:c r="B54" s="7" t="n">
        <x:v>46002</x:v>
      </x:c>
      <x:c r="C54" s="6" t="str">
        <x:v>PO-211-14612184440950601</x:v>
      </x:c>
      <x:c r="D54" s="10" t="str">
        <x:v>[Alien Lanyard] Dual Card Alien-Themed Black Lanyard | Green Graphics &amp; "Give Me Some Space" Design - for Office, Staff, Students, Teachers, Doctors, Couriers, Waiters</x:v>
      </x:c>
      <x:c r="E54" s="10" t="str">
        <x:v>Style1</x:v>
      </x:c>
      <x:c r="F54" s="8" t="n">
        <x:v>1</x:v>
      </x:c>
      <x:c r="G54" s="8" t="n">
        <x:v>8</x:v>
      </x:c>
      <x:c r="H54" s="9" t="n">
        <x:v>3.79</x:v>
      </x:c>
      <x:c r="I54" s="9" t="n">
        <x:v>2</x:v>
      </x:c>
      <x:c r="J54" s="9" t="n">
        <x:v>0</x:v>
      </x:c>
      <x:c r="K54" s="9" t="n">
        <x:f>IF(G54=0,0,J54/G54)</x:f>
        <x:v>0</x:v>
      </x:c>
      <x:c r="L54" s="9" t="n">
        <x:f>I54+K54</x:f>
        <x:v>2</x:v>
      </x:c>
      <x:c r="M54" s="9" t="n">
        <x:f>L54*F54</x:f>
        <x:v>2</x:v>
      </x:c>
      <x:c r="N54" s="9" t="n">
        <x:v>3.7</x:v>
      </x:c>
      <x:c r="O54" s="9" t="n">
        <x:v>54.63</x:v>
      </x:c>
      <x:c r="P54" s="11" t="str">
        <x:v>https://img.kwcdn.com/product/fancy/1e47c23d-486c-404b-8845-da9cbbb2fadb.jpg?imageView2/2/w/300/q/70/format/avif</x:v>
      </x:c>
      <x:c r="Q54" s="11" t="str">
        <x:v>https://www.temu.com/bgt_order_receipt.html?parent_order_sn=PO-211-14612184440950601</x:v>
      </x:c>
    </x:row>
    <x:row r="55" ht="48" customHeight="1">
      <x:c r="A55" s="6" t="e">
        <x:f>IMAGE(P55)</x:f>
        <x:v>IMAGE is not implemented. source=https://img.kwcdn.com/product/fancy/f0085ca7-6375-4e3d-a4fb-2cf28d1b8e10.jpg?imageView2/2/w/300/q/70/format/avif, altText=undefined, sizing=undefined, height=undefined, width=undefined</x:v>
      </x:c>
      <x:c r="B55" s="7" t="n">
        <x:v>46002</x:v>
      </x:c>
      <x:c r="C55" s="6" t="str">
        <x:v>PO-211-14612184440950601</x:v>
      </x:c>
      <x:c r="D55" s="10" t="str">
        <x:v>2pcs/4pcs Outdoor Copper Wire Firework Lantern String, USB-Powered Dimmable Hanging Fairy Lights with 8 Lighting Modes for Yard, Patio, Garden, Wedding, Christmas, Halloween Decorations</x:v>
      </x:c>
      <x:c r="E55" s="10" t="str">
        <x:v>Multicolor / 4pcs-360LED</x:v>
      </x:c>
      <x:c r="F55" s="8" t="n">
        <x:v>1</x:v>
      </x:c>
      <x:c r="G55" s="8" t="n">
        <x:v>8</x:v>
      </x:c>
      <x:c r="H55" s="9" t="n">
        <x:v>8.16</x:v>
      </x:c>
      <x:c r="I55" s="9" t="n">
        <x:v>7.97</x:v>
      </x:c>
      <x:c r="J55" s="9" t="n">
        <x:v>0</x:v>
      </x:c>
      <x:c r="K55" s="9" t="n">
        <x:f>IF(G55=0,0,J55/G55)</x:f>
        <x:v>0</x:v>
      </x:c>
      <x:c r="L55" s="9" t="n">
        <x:f>I55+K55</x:f>
        <x:v>7.97</x:v>
      </x:c>
      <x:c r="M55" s="9" t="n">
        <x:f>L55*F55</x:f>
        <x:v>7.97</x:v>
      </x:c>
      <x:c r="N55" s="9" t="n">
        <x:v>3.7</x:v>
      </x:c>
      <x:c r="O55" s="9" t="n">
        <x:v>54.63</x:v>
      </x:c>
      <x:c r="P55" s="11" t="str">
        <x:v>https://img.kwcdn.com/product/fancy/f0085ca7-6375-4e3d-a4fb-2cf28d1b8e10.jpg?imageView2/2/w/300/q/70/format/avif</x:v>
      </x:c>
      <x:c r="Q55" s="11" t="str">
        <x:v>https://www.temu.com/bgt_order_receipt.html?parent_order_sn=PO-211-14612184440950601</x:v>
      </x:c>
    </x:row>
    <x:row r="56" ht="48" customHeight="1">
      <x:c r="A56" s="6" t="e">
        <x:f>IMAGE(P56)</x:f>
        <x:v>IMAGE is not implemented. source=https://img.kwcdn.com/product/fancy/e2eec060-e8ec-4866-a257-e1948a53db9e.jpg?imageView2/2/w/300/q/70/format/avif, altText=undefined, sizing=undefined, height=undefined, width=undefined</x:v>
      </x:c>
      <x:c r="B56" s="7" t="n">
        <x:v>46002</x:v>
      </x:c>
      <x:c r="C56" s="6" t="str">
        <x:v>PO-211-14612184440950601</x:v>
      </x:c>
      <x:c r="D56" s="10" t="str">
        <x:v>22pcs Mini Flip Cube - Reverse Puzzle Toy with Infinite Loop, Portable Plastic Fidget Game Suitable for, s, Party Favors, Classroom Prizes &amp; Challenge ( Colors)</x:v>
      </x:c>
      <x:c r="E56" s="10" t="str">
        <x:v>22pcs</x:v>
      </x:c>
      <x:c r="F56" s="8" t="n">
        <x:v>1</x:v>
      </x:c>
      <x:c r="G56" s="8" t="n">
        <x:v>8</x:v>
      </x:c>
      <x:c r="H56" s="9" t="n">
        <x:v>14.02</x:v>
      </x:c>
      <x:c r="I56" s="9" t="n">
        <x:v>7.75</x:v>
      </x:c>
      <x:c r="J56" s="9" t="n">
        <x:v>0</x:v>
      </x:c>
      <x:c r="K56" s="9" t="n">
        <x:f>IF(G56=0,0,J56/G56)</x:f>
        <x:v>0</x:v>
      </x:c>
      <x:c r="L56" s="9" t="n">
        <x:f>I56+K56</x:f>
        <x:v>7.75</x:v>
      </x:c>
      <x:c r="M56" s="9" t="n">
        <x:f>L56*F56</x:f>
        <x:v>7.75</x:v>
      </x:c>
      <x:c r="N56" s="9" t="n">
        <x:v>3.7</x:v>
      </x:c>
      <x:c r="O56" s="9" t="n">
        <x:v>54.63</x:v>
      </x:c>
      <x:c r="P56" s="11" t="str">
        <x:v>https://img.kwcdn.com/product/fancy/e2eec060-e8ec-4866-a257-e1948a53db9e.jpg?imageView2/2/w/300/q/70/format/avif</x:v>
      </x:c>
      <x:c r="Q56" s="11" t="str">
        <x:v>https://www.temu.com/bgt_order_receipt.html?parent_order_sn=PO-211-14612184440950601</x:v>
      </x:c>
    </x:row>
    <x:row r="57" ht="48" customHeight="1">
      <x:c r="A57" s="6" t="e">
        <x:f>IMAGE(P57)</x:f>
        <x:v>IMAGE is not implemented. source=https://img.kwcdn.com/product/fancy/a8f12b20-f85e-4da9-a8c5-1ce41d2ccd11.jpg?imageView2/2/w/300/q/70/format/avif, altText=undefined, sizing=undefined, height=undefined, width=undefined</x:v>
      </x:c>
      <x:c r="B57" s="7" t="n">
        <x:v>46002</x:v>
      </x:c>
      <x:c r="C57" s="6" t="str">
        <x:v>PO-211-14612184440950601</x:v>
      </x:c>
      <x:c r="D57" s="10" t="str">
        <x:v>20pcs Mini Finger Basketballs - Interactive Family Fun, Educational Shooting Game for Youngsters, Assorted Colors - Perfect for Halloween &amp; Christmas Gifts, Birthday Presents for Boys &amp; Girls</x:v>
      </x:c>
      <x:c r="E57" s="10" t="str">
        <x:v>20pcs</x:v>
      </x:c>
      <x:c r="F57" s="8" t="n">
        <x:v>1</x:v>
      </x:c>
      <x:c r="G57" s="8" t="n">
        <x:v>8</x:v>
      </x:c>
      <x:c r="H57" s="9" t="n">
        <x:v>7.52</x:v>
      </x:c>
      <x:c r="I57" s="9" t="n">
        <x:v>4.38</x:v>
      </x:c>
      <x:c r="J57" s="9" t="n">
        <x:v>0</x:v>
      </x:c>
      <x:c r="K57" s="9" t="n">
        <x:f>IF(G57=0,0,J57/G57)</x:f>
        <x:v>0</x:v>
      </x:c>
      <x:c r="L57" s="9" t="n">
        <x:f>I57+K57</x:f>
        <x:v>4.38</x:v>
      </x:c>
      <x:c r="M57" s="9" t="n">
        <x:f>L57*F57</x:f>
        <x:v>4.38</x:v>
      </x:c>
      <x:c r="N57" s="9" t="n">
        <x:v>3.7</x:v>
      </x:c>
      <x:c r="O57" s="9" t="n">
        <x:v>54.63</x:v>
      </x:c>
      <x:c r="P57" s="11" t="str">
        <x:v>https://img.kwcdn.com/product/fancy/a8f12b20-f85e-4da9-a8c5-1ce41d2ccd11.jpg?imageView2/2/w/300/q/70/format/avif</x:v>
      </x:c>
      <x:c r="Q57" s="11" t="str">
        <x:v>https://www.temu.com/bgt_order_receipt.html?parent_order_sn=PO-211-14612184440950601</x:v>
      </x:c>
    </x:row>
    <x:row r="58" ht="48" customHeight="1">
      <x:c r="A58" s="6" t="e">
        <x:f>IMAGE(P58)</x:f>
        <x:v>IMAGE is not implemented. source=https://img.kwcdn.com/product/fancy/97dba859-0d29-48cb-b597-a4b2df7824f8.jpg?imageView2/2/w/300/q/70/format/avif, altText=undefined, sizing=undefined, height=undefined, width=undefined</x:v>
      </x:c>
      <x:c r="B58" s="7" t="n">
        <x:v>46002</x:v>
      </x:c>
      <x:c r="C58" s="6" t="str">
        <x:v>PO-211-14612184440950601</x:v>
      </x:c>
      <x:c r="D58" s="10" t="str">
        <x:v>20/30/50 Glow-in-the-Dark Christmas Balls - Non-Toxic Rubber Party Favors with Santa, Reindeer, Snowflakes - No Electricity Needed, Suitable for Christmas, Birthday, Party, Gift Bag Fillers - Multi-Pack Party Supplies, Christmas Party Decorations</x:v>
      </x:c>
      <x:c r="E58" s="10" t="str">
        <x:v>50pcs</x:v>
      </x:c>
      <x:c r="F58" s="8" t="n">
        <x:v>1</x:v>
      </x:c>
      <x:c r="G58" s="8" t="n">
        <x:v>8</x:v>
      </x:c>
      <x:c r="H58" s="9" t="n">
        <x:v>9.83</x:v>
      </x:c>
      <x:c r="I58" s="9" t="n">
        <x:v>9.41</x:v>
      </x:c>
      <x:c r="J58" s="9" t="n">
        <x:v>0</x:v>
      </x:c>
      <x:c r="K58" s="9" t="n">
        <x:f>IF(G58=0,0,J58/G58)</x:f>
        <x:v>0</x:v>
      </x:c>
      <x:c r="L58" s="9" t="n">
        <x:f>I58+K58</x:f>
        <x:v>9.41</x:v>
      </x:c>
      <x:c r="M58" s="9" t="n">
        <x:f>L58*F58</x:f>
        <x:v>9.41</x:v>
      </x:c>
      <x:c r="N58" s="9" t="n">
        <x:v>3.7</x:v>
      </x:c>
      <x:c r="O58" s="9" t="n">
        <x:v>54.63</x:v>
      </x:c>
      <x:c r="P58" s="11" t="str">
        <x:v>https://img.kwcdn.com/product/fancy/97dba859-0d29-48cb-b597-a4b2df7824f8.jpg?imageView2/2/w/300/q/70/format/avif</x:v>
      </x:c>
      <x:c r="Q58" s="11" t="str">
        <x:v>https://www.temu.com/bgt_order_receipt.html?parent_order_sn=PO-211-14612184440950601</x:v>
      </x:c>
    </x:row>
    <x:row r="59" ht="48" customHeight="1">
      <x:c r="A59" s="6" t="e">
        <x:f>IMAGE(P59)</x:f>
        <x:v>IMAGE is not implemented. source=https://img.kwcdn.com/product/fancy/133a2153-50d3-47af-a761-334e5fea19e8.jpg?imageView2/2/w/300/q/70/format/avif, altText=undefined, sizing=undefined, height=undefined, width=undefined</x:v>
      </x:c>
      <x:c r="B59" s="7" t="n">
        <x:v>46002</x:v>
      </x:c>
      <x:c r="C59" s="6" t="str">
        <x:v>PO-211-14612184440950601</x:v>
      </x:c>
      <x:c r="D59" s="10" t="str">
        <x:v>200pcs Mini Pop Tube Toys, suitable for children aged 4-12, enhances focus, hands-on skills, and creative thinking. Perfect as birthday gifts, party favors, classroom toys, or fidget toys for boys and girls. Includes gift bags and candy bag fillers</x:v>
      </x:c>
      <x:c r="E59" s="10" t="str">
        <x:v>200pcs Boxed</x:v>
      </x:c>
      <x:c r="F59" s="8" t="n">
        <x:v>1</x:v>
      </x:c>
      <x:c r="G59" s="8" t="n">
        <x:v>8</x:v>
      </x:c>
      <x:c r="H59" s="9" t="n">
        <x:v>28.22</x:v>
      </x:c>
      <x:c r="I59" s="9" t="n">
        <x:v>14.23</x:v>
      </x:c>
      <x:c r="J59" s="9" t="n">
        <x:v>0</x:v>
      </x:c>
      <x:c r="K59" s="9" t="n">
        <x:f>IF(G59=0,0,J59/G59)</x:f>
        <x:v>0</x:v>
      </x:c>
      <x:c r="L59" s="9" t="n">
        <x:f>I59+K59</x:f>
        <x:v>14.23</x:v>
      </x:c>
      <x:c r="M59" s="9" t="n">
        <x:f>L59*F59</x:f>
        <x:v>14.23</x:v>
      </x:c>
      <x:c r="N59" s="9" t="n">
        <x:v>3.7</x:v>
      </x:c>
      <x:c r="O59" s="9" t="n">
        <x:v>54.63</x:v>
      </x:c>
      <x:c r="P59" s="11" t="str">
        <x:v>https://img.kwcdn.com/product/fancy/133a2153-50d3-47af-a761-334e5fea19e8.jpg?imageView2/2/w/300/q/70/format/avif</x:v>
      </x:c>
      <x:c r="Q59" s="11" t="str">
        <x:v>https://www.temu.com/bgt_order_receipt.html?parent_order_sn=PO-211-14612184440950601</x:v>
      </x:c>
    </x:row>
    <x:row r="60" ht="48" customHeight="1">
      <x:c r="A60" s="6" t="e">
        <x:f>IMAGE(P60)</x:f>
        <x:v>IMAGE is not implemented. source=https://img.kwcdn.com/product/fancy/873906f7-749c-46e9-9e4d-3eef876c8948.jpg?imageView2/2/w/300/q/70/format/avif, altText=undefined, sizing=undefined, height=undefined, width=undefined</x:v>
      </x:c>
      <x:c r="B60" s="7" t="n">
        <x:v>46002</x:v>
      </x:c>
      <x:c r="C60" s="6" t="str">
        <x:v>PO-211-14612226383990601</x:v>
      </x:c>
      <x:c r="D60" s="10" t="str">
        <x:v>40pcs 3D Printed Dragon &amp; Egg Decorative Statue Set | 20 Dragons (5.04") + 20 Eggs (2.28"), Vibrant Colors Modern Style, Tabletop Ornament for Home Office Living Room, Perfect for Christmas Halloween</x:v>
      </x:c>
      <x:c r="E60" s="10" t="str">
        <x:v>40 pieces: 20 dragons + 20 eggs</x:v>
      </x:c>
      <x:c r="F60" s="8" t="n">
        <x:v>2</x:v>
      </x:c>
      <x:c r="G60" s="8" t="n">
        <x:v>2</x:v>
      </x:c>
      <x:c r="H60" s="9" t="n">
        <x:v>17.72</x:v>
      </x:c>
      <x:c r="I60" s="9" t="n">
        <x:v>14.62</x:v>
      </x:c>
      <x:c r="J60" s="9" t="n">
        <x:v>0</x:v>
      </x:c>
      <x:c r="K60" s="9" t="n">
        <x:f>IF(G60=0,0,J60/G60)</x:f>
        <x:v>0</x:v>
      </x:c>
      <x:c r="L60" s="9" t="n">
        <x:f>I60+K60</x:f>
        <x:v>14.62</x:v>
      </x:c>
      <x:c r="M60" s="9" t="n">
        <x:f>L60*F60</x:f>
        <x:v>29.24</x:v>
      </x:c>
      <x:c r="N60" s="9" t="n">
        <x:v>2.12</x:v>
      </x:c>
      <x:c r="O60" s="9" t="n">
        <x:v>31.36</x:v>
      </x:c>
      <x:c r="P60" s="11" t="str">
        <x:v>https://img.kwcdn.com/product/fancy/873906f7-749c-46e9-9e4d-3eef876c8948.jpg?imageView2/2/w/300/q/70/format/avif</x:v>
      </x:c>
      <x:c r="Q60" s="11" t="str">
        <x:v>https://www.temu.com/bgt_order_receipt.html?parent_order_sn=PO-211-14612226383990601</x:v>
      </x:c>
    </x:row>
    <x:row r="61" ht="48" customHeight="1">
      <x:c r="A61" s="6" t="e">
        <x:f>IMAGE(P61)</x:f>
        <x:v>IMAGE is not implemented. source=https://img.kwcdn.com/product/open/c148ba62f9ed457c9b4f160021ae5515-goods.jpeg?imageView2/2/w/300/q/70/format/avif, altText=undefined, sizing=undefined, height=undefined, width=undefined</x:v>
      </x:c>
      <x:c r="B61" s="7" t="n">
        <x:v>46002</x:v>
      </x:c>
      <x:c r="C61" s="6" t="str">
        <x:v>PO-211-14612268327030601</x:v>
      </x:c>
      <x:c r="D61" s="10" t="str">
        <x:v>[Color Changing Mood Rings] 100pcs Mood Rings - Vintage Mixed Color Changing Emotion Rings | Sensitive Mood Jewelry for Girls, Boys, Women, Men - Christmas Gifts, Birthday Party Favors, Costume Props (Size 6-10, Included Box)</x:v>
      </x:c>
      <x:c r="E61" s="10" t="str">
        <x:v>100Pcs Included Box</x:v>
      </x:c>
      <x:c r="F61" s="8" t="n">
        <x:v>2</x:v>
      </x:c>
      <x:c r="G61" s="8" t="n">
        <x:v>2</x:v>
      </x:c>
      <x:c r="H61" s="9" t="n">
        <x:v>25.25</x:v>
      </x:c>
      <x:c r="I61" s="9" t="n">
        <x:v>19.75</x:v>
      </x:c>
      <x:c r="J61" s="9" t="n">
        <x:v>0</x:v>
      </x:c>
      <x:c r="K61" s="9" t="n">
        <x:f>IF(G61=0,0,J61/G61)</x:f>
        <x:v>0</x:v>
      </x:c>
      <x:c r="L61" s="9" t="n">
        <x:f>I61+K61</x:f>
        <x:v>19.75</x:v>
      </x:c>
      <x:c r="M61" s="9" t="n">
        <x:f>L61*F61</x:f>
        <x:v>39.5</x:v>
      </x:c>
      <x:c r="N61" s="9" t="n">
        <x:v>2.86</x:v>
      </x:c>
      <x:c r="O61" s="9" t="n">
        <x:v>42.36</x:v>
      </x:c>
      <x:c r="P61" s="11" t="str">
        <x:v>https://img.kwcdn.com/product/open/c148ba62f9ed457c9b4f160021ae5515-goods.jpeg?imageView2/2/w/300/q/70/format/avif</x:v>
      </x:c>
      <x:c r="Q61" s="11" t="str">
        <x:v>https://www.temu.com/bgt_order_receipt.html?parent_order_sn=PO-211-14612268327030601</x:v>
      </x:c>
    </x:row>
    <x:row r="62" ht="48" customHeight="1">
      <x:c r="A62" s="6" t="e">
        <x:f>IMAGE(P62)</x:f>
        <x:v>IMAGE is not implemented. source=https://img.kwcdn.com/product/fancy/0441eab1-ca11-4eae-bbd1-5c0d5610706b.jpg?imageView2/2/w/300/q/70/format/avif, altText=undefined, sizing=undefined, height=undefined, width=undefined</x:v>
      </x:c>
      <x:c r="B62" s="7" t="n">
        <x:v>45936</x:v>
      </x:c>
      <x:c r="C62" s="6" t="str">
        <x:v>PO-211-17876298819190601</x:v>
      </x:c>
      <x:c r="D62" s="10" t="str">
        <x:v>5ft Giant Inflatable Spider Outdoor Decoration with Glowing Eyes &amp; Glowing Web - Self-Standing Large Red/Black Spider for Yard, Garden, Lawn, Porch - Durable Plastic/Fabric, Easy Setup with Fan- Inflation ( Not Included) - Ideal for Halloween &amp; Easter Parties, Spooky Bat-Themed Design with Glowing, Classic Style for Festive Outdoor Use, Includes Web Lines</x:v>
      </x:c>
      <x:c r="E62" s="10" t="str">
        <x:v>red holiday</x:v>
      </x:c>
      <x:c r="F62" s="8" t="n">
        <x:v>1</x:v>
      </x:c>
      <x:c r="G62" s="8" t="n">
        <x:v>1</x:v>
      </x:c>
      <x:c r="H62" s="9" t="n">
        <x:v>22.85</x:v>
      </x:c>
      <x:c r="I62" s="9" t="n">
        <x:v>22.85</x:v>
      </x:c>
      <x:c r="J62" s="9" t="n">
        <x:v>2.99</x:v>
      </x:c>
      <x:c r="K62" s="9" t="n">
        <x:f>IF(G62=0,0,J62/G62)</x:f>
        <x:v>2.99</x:v>
      </x:c>
      <x:c r="L62" s="9" t="n">
        <x:f>I62+K62</x:f>
        <x:v>25.840000000000003</x:v>
      </x:c>
      <x:c r="M62" s="9" t="n">
        <x:f>L62*F62</x:f>
        <x:v>25.840000000000003</x:v>
      </x:c>
      <x:c r="N62" s="9" t="n">
        <x:v>1.66</x:v>
      </x:c>
      <x:c r="O62" s="9" t="n">
        <x:v>27.5</x:v>
      </x:c>
      <x:c r="P62" s="11" t="str">
        <x:v>https://img.kwcdn.com/product/fancy/0441eab1-ca11-4eae-bbd1-5c0d5610706b.jpg?imageView2/2/w/300/q/70/format/avif</x:v>
      </x:c>
      <x:c r="Q62" s="11" t="str">
        <x:v>https://www.temu.com/bgt_order_receipt.html?parent_order_sn=PO-211-17876298819190601</x:v>
      </x:c>
    </x:row>
    <x:row r="63" ht="48" customHeight="1">
      <x:c r="A63" s="6" t="e">
        <x:f>IMAGE(P63)</x:f>
        <x:v>IMAGE is not implemented. source=https://img.kwcdn.com/product/fancy/4fde667d-42ab-4b6c-b05a-68edf9944e22.jpg?imageView2/2/w/300/q/70/format/avif, altText=undefined, sizing=undefined, height=undefined, width=undefined</x:v>
      </x:c>
      <x:c r="B63" s="7" t="n">
        <x:v>45936</x:v>
      </x:c>
      <x:c r="C63" s="6" t="str">
        <x:v>PO-211-17876382705270601</x:v>
      </x:c>
      <x:c r="D63" s="10" t="str">
        <x:v>5.2ft Self-Standing Lighted Inflatable Santa Claus with LED Lights - Outdoor/Indoor Yard, Garden, Patio Christmas Decoration with Surfing Motion, Hawaiian Tropical &amp; Winter Themes, Durable Plastic Blow-Up Holiday Decor with Surfboard Base &amp; Snowman/Sleigh Attachments (100-120V, Easy Setup) - Ideal for Beach Parties &amp; Winter Wonderland Displays</x:v>
      </x:c>
      <x:c r="E63" s="10" t="str">
        <x:v>Surfing Christmas Santa-5.2FT</x:v>
      </x:c>
      <x:c r="F63" s="8" t="n">
        <x:v>1</x:v>
      </x:c>
      <x:c r="G63" s="8" t="n">
        <x:v>1</x:v>
      </x:c>
      <x:c r="H63" s="9" t="n">
        <x:v>37.63</x:v>
      </x:c>
      <x:c r="I63" s="9" t="n">
        <x:v>37.63</x:v>
      </x:c>
      <x:c r="J63" s="9" t="n">
        <x:v>0</x:v>
      </x:c>
      <x:c r="K63" s="9" t="n">
        <x:f>IF(G63=0,0,J63/G63)</x:f>
        <x:v>0</x:v>
      </x:c>
      <x:c r="L63" s="9" t="n">
        <x:f>I63+K63</x:f>
        <x:v>37.63</x:v>
      </x:c>
      <x:c r="M63" s="9" t="n">
        <x:f>L63*F63</x:f>
        <x:v>37.63</x:v>
      </x:c>
      <x:c r="N63" s="9" t="n">
        <x:v>2.73</x:v>
      </x:c>
      <x:c r="O63" s="9" t="n">
        <x:v>40.36</x:v>
      </x:c>
      <x:c r="P63" s="11" t="str">
        <x:v>https://img.kwcdn.com/product/fancy/4fde667d-42ab-4b6c-b05a-68edf9944e22.jpg?imageView2/2/w/300/q/70/format/avif</x:v>
      </x:c>
      <x:c r="Q63" s="11" t="str">
        <x:v>https://www.temu.com/bgt_order_receipt.html?parent_order_sn=PO-211-17876382705270601</x:v>
      </x:c>
    </x:row>
    <x:row r="64" ht="48" customHeight="1">
      <x:c r="A64" s="6" t="e">
        <x:f>IMAGE(P64)</x:f>
        <x:v>IMAGE is not implemented. source=https://img.kwcdn.com/product/open/d90742a4249348c79da8e05204b4a6b5-goods.jpeg?imageView2/2/w/300/q/70/format/avif, altText=undefined, sizing=undefined, height=undefined, width=undefined</x:v>
      </x:c>
      <x:c r="B64" s="7" t="n">
        <x:v>45936</x:v>
      </x:c>
      <x:c r="C64" s="6" t="str">
        <x:v>PO-211-17876450862710601</x:v>
      </x:c>
      <x:c r="D64" s="10" t="str">
        <x:v>160 cards/32 packs of Kabibara trading cards, full box happy collector's edition, perfect for card collectors and capybara enthusiasts, an exquisite gift for festive gatherings, shipped in random outer packaging</x:v>
      </x:c>
      <x:c r="E64" s="10" t="str">
        <x:v>160 pieces/32 packs (random packaging)</x:v>
      </x:c>
      <x:c r="F64" s="8" t="n">
        <x:v>2</x:v>
      </x:c>
      <x:c r="G64" s="8" t="n">
        <x:v>10</x:v>
      </x:c>
      <x:c r="H64" s="9" t="n">
        <x:v>9.66</x:v>
      </x:c>
      <x:c r="I64" s="9" t="n">
        <x:v>8.84</x:v>
      </x:c>
      <x:c r="J64" s="9" t="n">
        <x:v>0</x:v>
      </x:c>
      <x:c r="K64" s="9" t="n">
        <x:f>IF(G64=0,0,J64/G64)</x:f>
        <x:v>0</x:v>
      </x:c>
      <x:c r="L64" s="9" t="n">
        <x:f>I64+K64</x:f>
        <x:v>8.84</x:v>
      </x:c>
      <x:c r="M64" s="9" t="n">
        <x:f>L64*F64</x:f>
        <x:v>17.68</x:v>
      </x:c>
      <x:c r="N64" s="9" t="n">
        <x:v>10.25</x:v>
      </x:c>
      <x:c r="O64" s="9" t="n">
        <x:v>151.66</x:v>
      </x:c>
      <x:c r="P64" s="11" t="str">
        <x:v>https://img.kwcdn.com/product/open/d90742a4249348c79da8e05204b4a6b5-goods.jpeg?imageView2/2/w/300/q/70/format/avif</x:v>
      </x:c>
      <x:c r="Q64" s="11" t="str">
        <x:v>https://www.temu.com/bgt_order_receipt.html?parent_order_sn=PO-211-17876450862710601</x:v>
      </x:c>
    </x:row>
    <x:row r="65" ht="48" customHeight="1">
      <x:c r="A65" s="6" t="e">
        <x:f>IMAGE(P65)</x:f>
        <x:v>IMAGE is not implemented. source=https://img.kwcdn.com/product/fancy/49d7d9db-c697-4963-8715-5dfc87bb14f7.jpg?imageView2/2/w/300/q/70/format/avif, altText=undefined, sizing=undefined, height=undefined, width=undefined</x:v>
      </x:c>
      <x:c r="B65" s="7" t="n">
        <x:v>45936</x:v>
      </x:c>
      <x:c r="C65" s="6" t="str">
        <x:v>PO-211-17876450862710601</x:v>
      </x:c>
      <x:c r="D65" s="10" t="str">
        <x:v>64/128/256/288/384/576 Cards - Tralala TungTungTung Sahur Strategy Card Game, Laser Printed 8-Cards per Pack, Anime-Style Battle Collectible Playing cards with Random Outer Box and Contents, Meaningful Gift, Party Card Game, Collectible Card Game, Indonesian Card Game, Strategy Card Deck, Character Card Aesthetic, Laser Printed Artwork, Shrink-Sealed Packs, Premium Card Stock, Card Game Collectors, Anime Card</x:v>
      </x:c>
      <x:c r="E65" s="10" t="str">
        <x:v>72 Packs (576 Cards)</x:v>
      </x:c>
      <x:c r="F65" s="8" t="n">
        <x:v>5</x:v>
      </x:c>
      <x:c r="G65" s="8" t="n">
        <x:v>10</x:v>
      </x:c>
      <x:c r="H65" s="9" t="n">
        <x:v>21.77</x:v>
      </x:c>
      <x:c r="I65" s="9" t="n">
        <x:v>21.77</x:v>
      </x:c>
      <x:c r="J65" s="9" t="n">
        <x:v>0</x:v>
      </x:c>
      <x:c r="K65" s="9" t="n">
        <x:f>IF(G65=0,0,J65/G65)</x:f>
        <x:v>0</x:v>
      </x:c>
      <x:c r="L65" s="9" t="n">
        <x:f>I65+K65</x:f>
        <x:v>21.77</x:v>
      </x:c>
      <x:c r="M65" s="9" t="n">
        <x:f>L65*F65</x:f>
        <x:v>108.85</x:v>
      </x:c>
      <x:c r="N65" s="9" t="n">
        <x:v>10.25</x:v>
      </x:c>
      <x:c r="O65" s="9" t="n">
        <x:v>151.66</x:v>
      </x:c>
      <x:c r="P65" s="11" t="str">
        <x:v>https://img.kwcdn.com/product/fancy/49d7d9db-c697-4963-8715-5dfc87bb14f7.jpg?imageView2/2/w/300/q/70/format/avif</x:v>
      </x:c>
      <x:c r="Q65" s="11" t="str">
        <x:v>https://www.temu.com/bgt_order_receipt.html?parent_order_sn=PO-211-17876450862710601</x:v>
      </x:c>
    </x:row>
    <x:row r="66" ht="48" customHeight="1">
      <x:c r="A66" s="6" t="e">
        <x:f>IMAGE(P66)</x:f>
        <x:v>IMAGE is not implemented. source=https://img.kwcdn.com/product/open/6554631ef96d4f429e962c36de36144b-goods.jpeg?imageView2/2/w/300/q/70/format/avif, altText=undefined, sizing=undefined, height=undefined, width=undefined</x:v>
      </x:c>
      <x:c r="B66" s="7" t="n">
        <x:v>45936</x:v>
      </x:c>
      <x:c r="C66" s="6" t="str">
        <x:v>PO-211-17876450862710601</x:v>
      </x:c>
      <x:c r="D66" s="10" t="str">
        <x:v>2pcs Cartoon Astronaut Balloons - Space-Themed Party Decorations with Detailed Space Suits &amp; Planets, Mixed Colors, No Electricity Needed for Birthdays, Weddings, Valentine'S Day, New Year &amp; Celebrations, Space Party Decorations, Celebration Accessories, Cosmic Theme Decor, Durable Party Decor</x:v>
      </x:c>
      <x:c r="E66" s="10" t="str">
        <x:v>Mixed-color</x:v>
      </x:c>
      <x:c r="F66" s="8" t="n">
        <x:v>1</x:v>
      </x:c>
      <x:c r="G66" s="8" t="n">
        <x:v>10</x:v>
      </x:c>
      <x:c r="H66" s="9" t="n">
        <x:v>3.74</x:v>
      </x:c>
      <x:c r="I66" s="9" t="n">
        <x:v>3.74</x:v>
      </x:c>
      <x:c r="J66" s="9" t="n">
        <x:v>0</x:v>
      </x:c>
      <x:c r="K66" s="9" t="n">
        <x:f>IF(G66=0,0,J66/G66)</x:f>
        <x:v>0</x:v>
      </x:c>
      <x:c r="L66" s="9" t="n">
        <x:f>I66+K66</x:f>
        <x:v>3.74</x:v>
      </x:c>
      <x:c r="M66" s="9" t="n">
        <x:f>L66*F66</x:f>
        <x:v>3.74</x:v>
      </x:c>
      <x:c r="N66" s="9" t="n">
        <x:v>10.25</x:v>
      </x:c>
      <x:c r="O66" s="9" t="n">
        <x:v>151.66</x:v>
      </x:c>
      <x:c r="P66" s="11" t="str">
        <x:v>https://img.kwcdn.com/product/open/6554631ef96d4f429e962c36de36144b-goods.jpeg?imageView2/2/w/300/q/70/format/avif</x:v>
      </x:c>
      <x:c r="Q66" s="11" t="str">
        <x:v>https://www.temu.com/bgt_order_receipt.html?parent_order_sn=PO-211-17876450862710601</x:v>
      </x:c>
    </x:row>
    <x:row r="67" ht="48" customHeight="1">
      <x:c r="A67" s="6" t="e">
        <x:f>IMAGE(P67)</x:f>
        <x:v>IMAGE is not implemented. source=https://img.kwcdn.com/product/fancy/60a5d33f-f31a-4bb4-8577-997b71851885.jpg?imageView2/2/w/300/q/70/format/avif, altText=undefined, sizing=undefined, height=undefined, width=undefined</x:v>
      </x:c>
      <x:c r="B67" s="7" t="n">
        <x:v>45936</x:v>
      </x:c>
      <x:c r="C67" s="6" t="str">
        <x:v>PO-211-17876450862710601</x:v>
      </x:c>
      <x:c r="D67" s="10" t="str">
        <x:v>10pcs Set of Inflatable Instruments, Various Colored Inflatable Guitars, Colorful Inflatable Guitars for Rock Parties in The 80S And 90S Themed Parties, Birthday Carnival Decorations, Halloween Decorations, Christmas Decorations</x:v>
      </x:c>
      <x:c r="E67" s="10" t="str">
        <x:v>10pcs</x:v>
      </x:c>
      <x:c r="F67" s="8" t="n">
        <x:v>2</x:v>
      </x:c>
      <x:c r="G67" s="8" t="n">
        <x:v>10</x:v>
      </x:c>
      <x:c r="H67" s="9" t="n">
        <x:v>5.57</x:v>
      </x:c>
      <x:c r="I67" s="9" t="n">
        <x:v>5.57</x:v>
      </x:c>
      <x:c r="J67" s="9" t="n">
        <x:v>0</x:v>
      </x:c>
      <x:c r="K67" s="9" t="n">
        <x:f>IF(G67=0,0,J67/G67)</x:f>
        <x:v>0</x:v>
      </x:c>
      <x:c r="L67" s="9" t="n">
        <x:f>I67+K67</x:f>
        <x:v>5.57</x:v>
      </x:c>
      <x:c r="M67" s="9" t="n">
        <x:f>L67*F67</x:f>
        <x:v>11.14</x:v>
      </x:c>
      <x:c r="N67" s="9" t="n">
        <x:v>10.25</x:v>
      </x:c>
      <x:c r="O67" s="9" t="n">
        <x:v>151.66</x:v>
      </x:c>
      <x:c r="P67" s="11" t="str">
        <x:v>https://img.kwcdn.com/product/fancy/60a5d33f-f31a-4bb4-8577-997b71851885.jpg?imageView2/2/w/300/q/70/format/avif</x:v>
      </x:c>
      <x:c r="Q67" s="11" t="str">
        <x:v>https://www.temu.com/bgt_order_receipt.html?parent_order_sn=PO-211-17876450862710601</x:v>
      </x:c>
    </x:row>
    <x:row r="68" ht="48" customHeight="1">
      <x:c r="A68" s="6" t="e">
        <x:f>IMAGE(P68)</x:f>
        <x:v>IMAGE is not implemented. source=https://img.kwcdn.com/product/fancy/878bb74c-a231-49f7-a02c-61d53ebe55bf.jpg?imageView2/2/w/300/q/70/format/avif, altText=undefined, sizing=undefined, height=undefined, width=undefined</x:v>
      </x:c>
      <x:c r="B68" s="7" t="n">
        <x:v>45929</x:v>
      </x:c>
      <x:c r="C68" s="6" t="str">
        <x:v>PO-211-04132420990070601</x:v>
      </x:c>
      <x:c r="D68" s="10" t="str">
        <x:v>50pcs TungTungTungSahur Meme Stickers - Funny Animal &amp; Food Designs, Self-Adhesive Vinyl Decals for Phones, Laptops, Fridges, Toolboxes, and Luggage, White/Red/Blue/Yellow, Irregular Shapes, Perfect for Personalizing Your Belongings, Funny Stickers</x:v>
      </x:c>
      <x:c r="E68" s="10" t="str">
        <x:v>50pcs</x:v>
      </x:c>
      <x:c r="F68" s="8" t="n">
        <x:v>1</x:v>
      </x:c>
      <x:c r="G68" s="8" t="n">
        <x:v>8</x:v>
      </x:c>
      <x:c r="H68" s="9" t="n">
        <x:v>1.88</x:v>
      </x:c>
      <x:c r="I68" s="9" t="n">
        <x:v>1.88</x:v>
      </x:c>
      <x:c r="J68" s="9" t="n">
        <x:v>0</x:v>
      </x:c>
      <x:c r="K68" s="9" t="n">
        <x:f>IF(G68=0,0,J68/G68)</x:f>
        <x:v>0</x:v>
      </x:c>
      <x:c r="L68" s="9" t="n">
        <x:f>I68+K68</x:f>
        <x:v>1.88</x:v>
      </x:c>
      <x:c r="M68" s="9" t="n">
        <x:f>L68*F68</x:f>
        <x:v>1.88</x:v>
      </x:c>
      <x:c r="N68" s="9" t="n">
        <x:v>2.98</x:v>
      </x:c>
      <x:c r="O68" s="9" t="n">
        <x:v>44.04</x:v>
      </x:c>
      <x:c r="P68" s="11" t="str">
        <x:v>https://img.kwcdn.com/product/fancy/878bb74c-a231-49f7-a02c-61d53ebe55bf.jpg?imageView2/2/w/300/q/70/format/avif</x:v>
      </x:c>
      <x:c r="Q68" s="11" t="str">
        <x:v>https://www.temu.com/bgt_order_receipt.html?parent_order_sn=PO-211-04132420990070601</x:v>
      </x:c>
    </x:row>
    <x:row r="69" ht="48" customHeight="1">
      <x:c r="A69" s="6" t="e">
        <x:f>IMAGE(P69)</x:f>
        <x:v>IMAGE is not implemented. source=https://img.kwcdn.com/product/open/b977292a878843ecbeefd4a20e576ff0-goods.jpeg?imageView2/2/w/300/q/70/format/avif, altText=undefined, sizing=undefined, height=undefined, width=undefined</x:v>
      </x:c>
      <x:c r="B69" s="7" t="n">
        <x:v>45929</x:v>
      </x:c>
      <x:c r="C69" s="6" t="str">
        <x:v>PO-211-04132420990070601</x:v>
      </x:c>
      <x:c r="D69" s="10" t="str">
        <x:v>100pcs Tung Tung Tung Sahur Neon Graffiti Stickers - Durable Cartoon Decals for Phones, Laptops, Fridges, Toolboxes &amp; Cars | Perfect Holiday Birthday Gift, Fridge Decoration, Toolbox Decor, Playful Graphics, Fun Designs, Longlasting Adhesive, Highquality Vinyl, Decal Set, Teens Decor, DIY Enthusiasts</x:v>
      </x:c>
      <x:c r="E69" s="10" t="str">
        <x:v>100 stickers (two packs)</x:v>
      </x:c>
      <x:c r="F69" s="8" t="n">
        <x:v>1</x:v>
      </x:c>
      <x:c r="G69" s="8" t="n">
        <x:v>8</x:v>
      </x:c>
      <x:c r="H69" s="9" t="n">
        <x:v>4.06</x:v>
      </x:c>
      <x:c r="I69" s="9" t="n">
        <x:v>4.06</x:v>
      </x:c>
      <x:c r="J69" s="9" t="n">
        <x:v>0</x:v>
      </x:c>
      <x:c r="K69" s="9" t="n">
        <x:f>IF(G69=0,0,J69/G69)</x:f>
        <x:v>0</x:v>
      </x:c>
      <x:c r="L69" s="9" t="n">
        <x:f>I69+K69</x:f>
        <x:v>4.06</x:v>
      </x:c>
      <x:c r="M69" s="9" t="n">
        <x:f>L69*F69</x:f>
        <x:v>4.06</x:v>
      </x:c>
      <x:c r="N69" s="9" t="n">
        <x:v>2.98</x:v>
      </x:c>
      <x:c r="O69" s="9" t="n">
        <x:v>44.04</x:v>
      </x:c>
      <x:c r="P69" s="11" t="str">
        <x:v>https://img.kwcdn.com/product/open/b977292a878843ecbeefd4a20e576ff0-goods.jpeg?imageView2/2/w/300/q/70/format/avif</x:v>
      </x:c>
      <x:c r="Q69" s="11" t="str">
        <x:v>https://www.temu.com/bgt_order_receipt.html?parent_order_sn=PO-211-04132420990070601</x:v>
      </x:c>
    </x:row>
    <x:row r="70" ht="48" customHeight="1">
      <x:c r="A70" s="6" t="e">
        <x:f>IMAGE(P70)</x:f>
        <x:v>IMAGE is not implemented. source=https://img.kwcdn.com/product/fancy/133a2153-50d3-47af-a761-334e5fea19e8.jpg?imageView2/2/w/300/q/70/format/avif, altText=undefined, sizing=undefined, height=undefined, width=undefined</x:v>
      </x:c>
      <x:c r="B70" s="7" t="n">
        <x:v>45929</x:v>
      </x:c>
      <x:c r="C70" s="6" t="str">
        <x:v>PO-211-04132420990070601</x:v>
      </x:c>
      <x:c r="D70" s="10" t="str">
        <x:v>200pcs Mini Pop Tube Toys, suitable for children aged 4-12, enhances focus, hands-on skills, and creative thinking. Perfect as birthday gifts, party favors, classroom toys, or fidget toys for boys and girls. Includes gift bags and candy bag fillers</x:v>
      </x:c>
      <x:c r="E70" s="10" t="str">
        <x:v>200pcs Boxed</x:v>
      </x:c>
      <x:c r="F70" s="8" t="n">
        <x:v>1</x:v>
      </x:c>
      <x:c r="G70" s="8" t="n">
        <x:v>8</x:v>
      </x:c>
      <x:c r="H70" s="9" t="n">
        <x:v>15.21</x:v>
      </x:c>
      <x:c r="I70" s="9" t="n">
        <x:v>14.23</x:v>
      </x:c>
      <x:c r="J70" s="9" t="n">
        <x:v>0</x:v>
      </x:c>
      <x:c r="K70" s="9" t="n">
        <x:f>IF(G70=0,0,J70/G70)</x:f>
        <x:v>0</x:v>
      </x:c>
      <x:c r="L70" s="9" t="n">
        <x:f>I70+K70</x:f>
        <x:v>14.23</x:v>
      </x:c>
      <x:c r="M70" s="9" t="n">
        <x:f>L70*F70</x:f>
        <x:v>14.23</x:v>
      </x:c>
      <x:c r="N70" s="9" t="n">
        <x:v>2.98</x:v>
      </x:c>
      <x:c r="O70" s="9" t="n">
        <x:v>44.04</x:v>
      </x:c>
      <x:c r="P70" s="11" t="str">
        <x:v>https://img.kwcdn.com/product/fancy/133a2153-50d3-47af-a761-334e5fea19e8.jpg?imageView2/2/w/300/q/70/format/avif</x:v>
      </x:c>
      <x:c r="Q70" s="11" t="str">
        <x:v>https://www.temu.com/bgt_order_receipt.html?parent_order_sn=PO-211-04132420990070601</x:v>
      </x:c>
    </x:row>
    <x:row r="71" ht="48" customHeight="1">
      <x:c r="A71" s="6" t="e">
        <x:f>IMAGE(P71)</x:f>
        <x:v>IMAGE is not implemented. source=https://img.kwcdn.com/product/open/4ed05ff947194241ac9aade26c942b3e-goods.jpeg?imageView2/2/w/300/q/70/format/avif, altText=undefined, sizing=undefined, height=undefined, width=undefined</x:v>
      </x:c>
      <x:c r="B71" s="7" t="n">
        <x:v>45929</x:v>
      </x:c>
      <x:c r="C71" s="6" t="str">
        <x:v>PO-211-04132420990070601</x:v>
      </x:c>
      <x:c r="D71" s="10" t="str">
        <x:v>Set of 10 Tropical Fish Keychains - Resin Imitation Aquatic Charms, Ideal for Bags And Backpacks</x:v>
      </x:c>
      <x:c r="E71" s="10" t="str">
        <x:v>10</x:v>
      </x:c>
      <x:c r="F71" s="8" t="n">
        <x:v>2</x:v>
      </x:c>
      <x:c r="G71" s="8" t="n">
        <x:v>8</x:v>
      </x:c>
      <x:c r="H71" s="9" t="n">
        <x:v>3.74</x:v>
      </x:c>
      <x:c r="I71" s="9" t="n">
        <x:v>3.54</x:v>
      </x:c>
      <x:c r="J71" s="9" t="n">
        <x:v>0</x:v>
      </x:c>
      <x:c r="K71" s="9" t="n">
        <x:f>IF(G71=0,0,J71/G71)</x:f>
        <x:v>0</x:v>
      </x:c>
      <x:c r="L71" s="9" t="n">
        <x:f>I71+K71</x:f>
        <x:v>3.54</x:v>
      </x:c>
      <x:c r="M71" s="9" t="n">
        <x:f>L71*F71</x:f>
        <x:v>7.08</x:v>
      </x:c>
      <x:c r="N71" s="9" t="n">
        <x:v>2.98</x:v>
      </x:c>
      <x:c r="O71" s="9" t="n">
        <x:v>44.04</x:v>
      </x:c>
      <x:c r="P71" s="11" t="str">
        <x:v>https://img.kwcdn.com/product/open/4ed05ff947194241ac9aade26c942b3e-goods.jpeg?imageView2/2/w/300/q/70/format/avif</x:v>
      </x:c>
      <x:c r="Q71" s="11" t="str">
        <x:v>https://www.temu.com/bgt_order_receipt.html?parent_order_sn=PO-211-04132420990070601</x:v>
      </x:c>
    </x:row>
    <x:row r="72" ht="48" customHeight="1">
      <x:c r="A72" s="6" t="e">
        <x:f>IMAGE(P72)</x:f>
        <x:v>IMAGE is not implemented. source=https://img.kwcdn.com/product/fancy/2e91a8cf-31e3-48a9-9b2e-12d4e67ad51b.jpg?imageView2/2/w/300/q/70/format/avif, altText=undefined, sizing=undefined, height=undefined, width=undefined</x:v>
      </x:c>
      <x:c r="B72" s="7" t="n">
        <x:v>45929</x:v>
      </x:c>
      <x:c r="C72" s="6" t="str">
        <x:v>PO-211-04132420990070601</x:v>
      </x:c>
      <x:c r="D72" s="10" t="str">
        <x:v>[Colorful Robot Keychain] 18pcs Colorful Robot Keychain | 6 Unique Designs, Durable Zinc Alloy &amp; PVC Charms for Backpacks, Purse Decor, Birthday Party Supplies &amp; Gifts, Cute Playful Accessory, Vibrant Metallic Clasp</x:v>
      </x:c>
      <x:c r="E72" s="10" t="str">
        <x:v>18pcs</x:v>
      </x:c>
      <x:c r="F72" s="8" t="n">
        <x:v>2</x:v>
      </x:c>
      <x:c r="G72" s="8" t="n">
        <x:v>8</x:v>
      </x:c>
      <x:c r="H72" s="9" t="n">
        <x:v>3.42</x:v>
      </x:c>
      <x:c r="I72" s="9" t="n">
        <x:v>3.42</x:v>
      </x:c>
      <x:c r="J72" s="9" t="n">
        <x:v>0</x:v>
      </x:c>
      <x:c r="K72" s="9" t="n">
        <x:f>IF(G72=0,0,J72/G72)</x:f>
        <x:v>0</x:v>
      </x:c>
      <x:c r="L72" s="9" t="n">
        <x:f>I72+K72</x:f>
        <x:v>3.42</x:v>
      </x:c>
      <x:c r="M72" s="9" t="n">
        <x:f>L72*F72</x:f>
        <x:v>6.84</x:v>
      </x:c>
      <x:c r="N72" s="9" t="n">
        <x:v>2.98</x:v>
      </x:c>
      <x:c r="O72" s="9" t="n">
        <x:v>44.04</x:v>
      </x:c>
      <x:c r="P72" s="11" t="str">
        <x:v>https://img.kwcdn.com/product/fancy/2e91a8cf-31e3-48a9-9b2e-12d4e67ad51b.jpg?imageView2/2/w/300/q/70/format/avif</x:v>
      </x:c>
      <x:c r="Q72" s="11" t="str">
        <x:v>https://www.temu.com/bgt_order_receipt.html?parent_order_sn=PO-211-04132420990070601</x:v>
      </x:c>
    </x:row>
    <x:row r="73" ht="48" customHeight="1">
      <x:c r="A73" s="6" t="e">
        <x:f>IMAGE(P73)</x:f>
        <x:v>IMAGE is not implemented. source=https://img.kwcdn.com/product/fancy/9bd38399-3ebb-4b3c-bb64-d91ff0c5b53a.jpg?imageView2/2/w/300/q/70/format/avif, altText=undefined, sizing=undefined, height=undefined, width=undefined</x:v>
      </x:c>
      <x:c r="B73" s="7" t="n">
        <x:v>45929</x:v>
      </x:c>
      <x:c r="C73" s="6" t="str">
        <x:v>PO-211-04132420990070601</x:v>
      </x:c>
      <x:c r="D73" s="10" t="str">
        <x:v>52pcs Glow in the Dark Shoe Charms - Vibrant PVC Designs for DIY Footwear Customization | Perfect for Sneakers, Bracelets &amp; Party Favors | Classic &amp; Unique Styles to Spark Creativity</x:v>
      </x:c>
      <x:c r="E73" s="10" t="str">
        <x:v>52 random luminous</x:v>
      </x:c>
      <x:c r="F73" s="8" t="n">
        <x:v>1</x:v>
      </x:c>
      <x:c r="G73" s="8" t="n">
        <x:v>8</x:v>
      </x:c>
      <x:c r="H73" s="9" t="n">
        <x:v>6.97</x:v>
      </x:c>
      <x:c r="I73" s="9" t="n">
        <x:v>6.97</x:v>
      </x:c>
      <x:c r="J73" s="9" t="n">
        <x:v>0</x:v>
      </x:c>
      <x:c r="K73" s="9" t="n">
        <x:f>IF(G73=0,0,J73/G73)</x:f>
        <x:v>0</x:v>
      </x:c>
      <x:c r="L73" s="9" t="n">
        <x:f>I73+K73</x:f>
        <x:v>6.97</x:v>
      </x:c>
      <x:c r="M73" s="9" t="n">
        <x:f>L73*F73</x:f>
        <x:v>6.97</x:v>
      </x:c>
      <x:c r="N73" s="9" t="n">
        <x:v>2.98</x:v>
      </x:c>
      <x:c r="O73" s="9" t="n">
        <x:v>44.04</x:v>
      </x:c>
      <x:c r="P73" s="11" t="str">
        <x:v>https://img.kwcdn.com/product/fancy/9bd38399-3ebb-4b3c-bb64-d91ff0c5b53a.jpg?imageView2/2/w/300/q/70/format/avif</x:v>
      </x:c>
      <x:c r="Q73" s="11" t="str">
        <x:v>https://www.temu.com/bgt_order_receipt.html?parent_order_sn=PO-211-04132420990070601</x:v>
      </x:c>
    </x:row>
    <x:row r="74" ht="48" customHeight="1">
      <x:c r="A74" s="6" t="e">
        <x:f>IMAGE(P74)</x:f>
        <x:v>IMAGE is not implemented. source=https://img.kwcdn.com/local-goods-image/20ef5f17a0/51414f63-9e15-40e8-bdcd-36bb1d2d45f0_800x800.jpeg.format.jpg?imageView2/2/w/300/q/70/format/avif, altText=undefined, sizing=undefined, height=undefined, width=undefined</x:v>
      </x:c>
      <x:c r="B74" s="7" t="n">
        <x:v>45929</x:v>
      </x:c>
      <x:c r="C74" s="6" t="str">
        <x:v>PO-211-04132504876150601</x:v>
      </x:c>
      <x:c r="D74" s="10" t="str">
        <x:v>Halloween Wall Mounted Flashlight, 11 Inch LED Night Light, USB Rechargeable, Suitable for Nightstand Flashlight, Cosplay Costume Night Light, Kids Birthday Party Living Room Bedroom Decoration, Christmas Gift</x:v>
      </x:c>
      <x:c r="E74" s="10" t="str">
        <x:v>11*2.2*2.2inch / plastic</x:v>
      </x:c>
      <x:c r="F74" s="8" t="n">
        <x:v>4</x:v>
      </x:c>
      <x:c r="G74" s="8" t="n">
        <x:v>4</x:v>
      </x:c>
      <x:c r="H74" s="9" t="n">
        <x:v>6.6</x:v>
      </x:c>
      <x:c r="I74" s="9" t="n">
        <x:v>6.6</x:v>
      </x:c>
      <x:c r="J74" s="9" t="n">
        <x:v>2.99</x:v>
      </x:c>
      <x:c r="K74" s="9" t="n">
        <x:f>IF(G74=0,0,J74/G74)</x:f>
        <x:v>0.7475</x:v>
      </x:c>
      <x:c r="L74" s="9" t="n">
        <x:f>I74+K74</x:f>
        <x:v>7.3475</x:v>
      </x:c>
      <x:c r="M74" s="9" t="n">
        <x:f>L74*F74</x:f>
        <x:v>29.39</x:v>
      </x:c>
      <x:c r="N74" s="9" t="n">
        <x:v>1.91</x:v>
      </x:c>
      <x:c r="O74" s="9" t="n">
        <x:v>31.3</x:v>
      </x:c>
      <x:c r="P74" s="11" t="str">
        <x:v>https://img.kwcdn.com/local-goods-image/20ef5f17a0/51414f63-9e15-40e8-bdcd-36bb1d2d45f0_800x800.jpeg.format.jpg?imageView2/2/w/300/q/70/format/avif</x:v>
      </x:c>
      <x:c r="Q74" s="11" t="str">
        <x:v>https://www.temu.com/bgt_order_receipt.html?parent_order_sn=PO-211-04132504876150601</x:v>
      </x:c>
    </x:row>
    <x:row r="75" ht="48" customHeight="1">
      <x:c r="A75" s="6" t="e">
        <x:f>IMAGE(P75)</x:f>
        <x:v>IMAGE is not implemented. source=https://img.kwcdn.com/product/fancy/0a08b2cf-8104-44a3-b58b-62e7a22ef180.jpg?imageView2/2/w/300/q/70/format/avif, altText=undefined, sizing=undefined, height=undefined, width=undefined</x:v>
      </x:c>
      <x:c r="B75" s="7" t="n">
        <x:v>45916</x:v>
      </x:c>
      <x:c r="C75" s="6" t="str">
        <x:v>PO-211-21913634550390601</x:v>
      </x:c>
      <x:c r="D75" s="10" t="str">
        <x:v>16pcs Tung-Tong-Keychain Set, Brain Rotting Creature Keychains, 《Shan Hai Jing》 Foreign Monster Theme for Car/Bag Wall Decorations. Suitable as Party Birthday Gifts and Game Accessories. 《Shangri La Pellucidum》 Cartoon Character Mini Backpack Charms – Cute Compact Bag Ornaments Perfect Animal Parties with Fun Designs, Great Present</x:v>
      </x:c>
      <x:c r="E75" s="10" t="str">
        <x:v>16pcs Cartoon Keychain</x:v>
      </x:c>
      <x:c r="F75" s="8" t="n">
        <x:v>4</x:v>
      </x:c>
      <x:c r="G75" s="8" t="n">
        <x:v>4</x:v>
      </x:c>
      <x:c r="H75" s="9" t="n">
        <x:v>11.9</x:v>
      </x:c>
      <x:c r="I75" s="9" t="n">
        <x:v>11.61</x:v>
      </x:c>
      <x:c r="J75" s="9" t="n">
        <x:v>0</x:v>
      </x:c>
      <x:c r="K75" s="9" t="n">
        <x:f>IF(G75=0,0,J75/G75)</x:f>
        <x:v>0</x:v>
      </x:c>
      <x:c r="L75" s="9" t="n">
        <x:f>I75+K75</x:f>
        <x:v>11.61</x:v>
      </x:c>
      <x:c r="M75" s="9" t="n">
        <x:f>L75*F75</x:f>
        <x:v>46.44</x:v>
      </x:c>
      <x:c r="N75" s="9" t="n">
        <x:v>3.36</x:v>
      </x:c>
      <x:c r="O75" s="9" t="n">
        <x:v>49.77</x:v>
      </x:c>
      <x:c r="P75" s="11" t="str">
        <x:v>https://img.kwcdn.com/product/fancy/0a08b2cf-8104-44a3-b58b-62e7a22ef180.jpg?imageView2/2/w/300/q/70/format/avif</x:v>
      </x:c>
      <x:c r="Q75" s="11" t="str">
        <x:v>https://www.temu.com/bgt_order_receipt.html?parent_order_sn=PO-211-21913634550390601</x:v>
      </x:c>
    </x:row>
    <x:row r="76" ht="48" customHeight="1">
      <x:c r="A76" s="6" t="e">
        <x:f>IMAGE(P76)</x:f>
        <x:v>IMAGE is not implemented. source=https://img.kwcdn.com/product/fancy/a36dd6d8-61ac-42be-8c22-7d8f8a1abfdf.jpg?imageView2/2/w/300/q/70/format/avif, altText=undefined, sizing=undefined, height=undefined, width=undefined</x:v>
      </x:c>
      <x:c r="B76" s="7" t="n">
        <x:v>45916</x:v>
      </x:c>
      <x:c r="C76" s="6" t="str">
        <x:v>PO-211-21913676493430601</x:v>
      </x:c>
      <x:c r="D76" s="10" t="str">
        <x:v>36pcs Motivational Stress Balls Keychains - Inspirational Foam Relax Balls with Uplifting Quotes, Colorful Keychain Accessories for Adults, Anxiety Relief &amp; Party Bag Fillers, Casual Style, Party Favor Fillers | Vibrant Keychains | Durable Keychains, Stress Ball Keychain</x:v>
      </x:c>
      <x:c r="E76" s="10" t="str">
        <x:v>36</x:v>
      </x:c>
      <x:c r="F76" s="8" t="n">
        <x:v>1</x:v>
      </x:c>
      <x:c r="G76" s="8" t="n">
        <x:v>2</x:v>
      </x:c>
      <x:c r="H76" s="9" t="n">
        <x:v>16.36</x:v>
      </x:c>
      <x:c r="I76" s="9" t="n">
        <x:v>16.36</x:v>
      </x:c>
      <x:c r="J76" s="9" t="n">
        <x:v>0</x:v>
      </x:c>
      <x:c r="K76" s="9" t="n">
        <x:f>IF(G76=0,0,J76/G76)</x:f>
        <x:v>0</x:v>
      </x:c>
      <x:c r="L76" s="9" t="n">
        <x:f>I76+K76</x:f>
        <x:v>16.36</x:v>
      </x:c>
      <x:c r="M76" s="9" t="n">
        <x:f>L76*F76</x:f>
        <x:v>16.36</x:v>
      </x:c>
      <x:c r="N76" s="9" t="n">
        <x:v>3.29</x:v>
      </x:c>
      <x:c r="O76" s="9" t="n">
        <x:v>48.63</x:v>
      </x:c>
      <x:c r="P76" s="11" t="str">
        <x:v>https://img.kwcdn.com/product/fancy/a36dd6d8-61ac-42be-8c22-7d8f8a1abfdf.jpg?imageView2/2/w/300/q/70/format/avif</x:v>
      </x:c>
      <x:c r="Q76" s="11" t="str">
        <x:v>https://www.temu.com/bgt_order_receipt.html?parent_order_sn=PO-211-21913676493430601</x:v>
      </x:c>
    </x:row>
    <x:row r="77" ht="48" customHeight="1">
      <x:c r="A77" s="6" t="e">
        <x:f>IMAGE(P77)</x:f>
        <x:v>IMAGE is not implemented. source=https://img.kwcdn.com/product/fancy/23f1bcf8-eb90-4a73-a86f-d961320471e4.jpg?imageView2/2/w/300/q/70/format/avif, altText=undefined, sizing=undefined, height=undefined, width=undefined</x:v>
      </x:c>
      <x:c r="B77" s="7" t="n">
        <x:v>45916</x:v>
      </x:c>
      <x:c r="C77" s="6" t="str">
        <x:v>PO-211-21913676493430601</x:v>
      </x:c>
      <x:c r="D77" s="10" t="str">
        <x:v>100pcs Realistic Banana Fidget - PU Foam Sensory Slime Bananas with -Shocking Snap (No Mess) for Teens, s, Birthday Party Favors, &amp; - Collectibles (2.36 Inch)</x:v>
      </x:c>
      <x:c r="E77" s="10" t="str">
        <x:v>PU foam</x:v>
      </x:c>
      <x:c r="F77" s="8" t="n">
        <x:v>1</x:v>
      </x:c>
      <x:c r="G77" s="8" t="n">
        <x:v>2</x:v>
      </x:c>
      <x:c r="H77" s="9" t="n">
        <x:v>28.98</x:v>
      </x:c>
      <x:c r="I77" s="9" t="n">
        <x:v>28.98</x:v>
      </x:c>
      <x:c r="J77" s="9" t="n">
        <x:v>0</x:v>
      </x:c>
      <x:c r="K77" s="9" t="n">
        <x:f>IF(G77=0,0,J77/G77)</x:f>
        <x:v>0</x:v>
      </x:c>
      <x:c r="L77" s="9" t="n">
        <x:f>I77+K77</x:f>
        <x:v>28.98</x:v>
      </x:c>
      <x:c r="M77" s="9" t="n">
        <x:f>L77*F77</x:f>
        <x:v>28.98</x:v>
      </x:c>
      <x:c r="N77" s="9" t="n">
        <x:v>3.29</x:v>
      </x:c>
      <x:c r="O77" s="9" t="n">
        <x:v>48.63</x:v>
      </x:c>
      <x:c r="P77" s="11" t="str">
        <x:v>https://img.kwcdn.com/product/fancy/23f1bcf8-eb90-4a73-a86f-d961320471e4.jpg?imageView2/2/w/300/q/70/format/avif</x:v>
      </x:c>
      <x:c r="Q77" s="11" t="str">
        <x:v>https://www.temu.com/bgt_order_receipt.html?parent_order_sn=PO-211-21913676493430601</x:v>
      </x:c>
    </x:row>
    <x:row r="78" ht="48" customHeight="1">
      <x:c r="A78" s="6" t="e">
        <x:f>IMAGE(P78)</x:f>
        <x:v>IMAGE is not implemented. source=https://img.kwcdn.com/product/fancy/fce12222-1402-4cae-a26e-4a2f057ae2ac.jpg?imageView2/2/w/300/q/70/format/avif, altText=undefined, sizing=undefined, height=undefined, width=undefined</x:v>
      </x:c>
      <x:c r="B78" s="7" t="n">
        <x:v>45894</x:v>
      </x:c>
      <x:c r="C78" s="6" t="str">
        <x:v>PO-211-11605641242230601</x:v>
      </x:c>
      <x:c r="D78" s="10" t="str">
        <x:v>[Fidget Spinner Sensory Toys] 36 Pack Fidget Spinner Sensory Toys | Stress Relief for Kids &amp; Adults, ADHD Autism, Christmas Birthday Gifts, Party Favors for Boys Girls Ages 3-12, Goodie Bag Stuffers, Classroom Prize</x:v>
      </x:c>
      <x:c r="E78" s="10" t="str">
        <x:v>36pcs/set</x:v>
      </x:c>
      <x:c r="F78" s="8" t="n">
        <x:v>1</x:v>
      </x:c>
      <x:c r="G78" s="8" t="n">
        <x:v>1</x:v>
      </x:c>
      <x:c r="H78" s="9" t="n">
        <x:v>22.76</x:v>
      </x:c>
      <x:c r="I78" s="9" t="n">
        <x:v>22.76</x:v>
      </x:c>
      <x:c r="J78" s="9" t="n">
        <x:v>2.99</x:v>
      </x:c>
      <x:c r="K78" s="9" t="n">
        <x:f>IF(G78=0,0,J78/G78)</x:f>
        <x:v>2.99</x:v>
      </x:c>
      <x:c r="L78" s="9" t="n">
        <x:f>I78+K78</x:f>
        <x:v>25.75</x:v>
      </x:c>
      <x:c r="M78" s="9" t="n">
        <x:f>L78*F78</x:f>
        <x:v>25.75</x:v>
      </x:c>
      <x:c r="N78" s="9" t="n">
        <x:v>1.65</x:v>
      </x:c>
      <x:c r="O78" s="9" t="n">
        <x:v>27.4</x:v>
      </x:c>
      <x:c r="P78" s="11" t="str">
        <x:v>https://img.kwcdn.com/product/fancy/fce12222-1402-4cae-a26e-4a2f057ae2ac.jpg?imageView2/2/w/300/q/70/format/avif</x:v>
      </x:c>
      <x:c r="Q78" s="11" t="str">
        <x:v>https://www.temu.com/bgt_order_receipt.html?parent_order_sn=PO-211-11605641242230601</x:v>
      </x:c>
    </x:row>
    <x:row r="79" ht="48" customHeight="1">
      <x:c r="A79" s="6" t="e">
        <x:f>IMAGE(P79)</x:f>
        <x:v>IMAGE is not implemented. source=https://img.kwcdn.com/product/fancy/a0a1198f-8b28-4696-99d9-3db8736451af.jpg?imageView2/2/w/300/q/70/format/avif, altText=undefined, sizing=undefined, height=undefined, width=undefined</x:v>
      </x:c>
      <x:c r="B79" s="7" t="n">
        <x:v>45894</x:v>
      </x:c>
      <x:c r="C79" s="6" t="str">
        <x:v>PO-211-11605662213750601</x:v>
      </x:c>
      <x:c r="D79" s="10" t="str">
        <x:v>[Vibrant Shoe Charms] 50/100/200pcs Vibrant Sports-Themed PVC Shoe Charms | Soccer, Basketball, Volleyball &amp; More - Durable PVC Material for Shoe Decoration, Perfect for Sports Enthusiasts &amp; Casual Attire, Playful Colorful Design</x:v>
      </x:c>
      <x:c r="E79" s="10" t="str">
        <x:v>200pcs</x:v>
      </x:c>
      <x:c r="F79" s="8" t="n">
        <x:v>2</x:v>
      </x:c>
      <x:c r="G79" s="8" t="n">
        <x:v>2</x:v>
      </x:c>
      <x:c r="H79" s="9" t="n">
        <x:v>4.88</x:v>
      </x:c>
      <x:c r="I79" s="9" t="n">
        <x:v>4.88</x:v>
      </x:c>
      <x:c r="J79" s="9" t="n">
        <x:v>2.99</x:v>
      </x:c>
      <x:c r="K79" s="9" t="n">
        <x:f>IF(G79=0,0,J79/G79)</x:f>
        <x:v>1.495</x:v>
      </x:c>
      <x:c r="L79" s="9" t="n">
        <x:f>I79+K79</x:f>
        <x:v>6.375</x:v>
      </x:c>
      <x:c r="M79" s="9" t="n">
        <x:f>L79*F79</x:f>
        <x:v>12.75</x:v>
      </x:c>
      <x:c r="N79" s="9" t="n">
        <x:v>0.71</x:v>
      </x:c>
      <x:c r="O79" s="9" t="n">
        <x:v>13.46</x:v>
      </x:c>
      <x:c r="P79" s="11" t="str">
        <x:v>https://img.kwcdn.com/product/fancy/a0a1198f-8b28-4696-99d9-3db8736451af.jpg?imageView2/2/w/300/q/70/format/avif</x:v>
      </x:c>
      <x:c r="Q79" s="11" t="str">
        <x:v>https://www.temu.com/bgt_order_receipt.html?parent_order_sn=PO-211-11605662213750601</x:v>
      </x:c>
    </x:row>
    <x:row r="80" ht="48" customHeight="1">
      <x:c r="A80" s="6" t="e">
        <x:f>IMAGE(P80)</x:f>
        <x:v>IMAGE is not implemented. source=https://img.kwcdn.com/product/fancy/cfc7f003-fdc3-41ea-a49a-29734af63979.jpg?imageView2/2/w/300/q/70/format/avif, altText=undefined, sizing=undefined, height=undefined, width=undefined</x:v>
      </x:c>
      <x:c r="B80" s="7" t="n">
        <x:v>45894</x:v>
      </x:c>
      <x:c r="C80" s="6" t="str">
        <x:v>PO-211-11605683185270601</x:v>
      </x:c>
      <x:c r="D80" s="10" t="str">
        <x:v>10pcs Cute Capybara Keychains with PVC Straps - Random Assortment of Capybaras in Hats, Holding Gifts &amp; Hearts - Perfect for Birthdays, Graduation, Teacher Appreciation, Christmas, Halloween, Thanksgiving, New Year Gifts, Cute Keychain Accessories, Best for Christmas</x:v>
      </x:c>
      <x:c r="E80" s="10" t="str">
        <x:v>Random 10 Pcs</x:v>
      </x:c>
      <x:c r="F80" s="8" t="n">
        <x:v>1</x:v>
      </x:c>
      <x:c r="G80" s="8" t="n">
        <x:v>19</x:v>
      </x:c>
      <x:c r="H80" s="9" t="n">
        <x:v>12.27</x:v>
      </x:c>
      <x:c r="I80" s="9" t="n">
        <x:v>11.05</x:v>
      </x:c>
      <x:c r="J80" s="9" t="n">
        <x:v>0</x:v>
      </x:c>
      <x:c r="K80" s="9" t="n">
        <x:f>IF(G80=0,0,J80/G80)</x:f>
        <x:v>0</x:v>
      </x:c>
      <x:c r="L80" s="9" t="n">
        <x:f>I80+K80</x:f>
        <x:v>11.05</x:v>
      </x:c>
      <x:c r="M80" s="9" t="n">
        <x:f>L80*F80</x:f>
        <x:v>11.05</x:v>
      </x:c>
      <x:c r="N80" s="9" t="n">
        <x:v>6.34</x:v>
      </x:c>
      <x:c r="O80" s="9" t="n">
        <x:v>93.84</x:v>
      </x:c>
      <x:c r="P80" s="11" t="str">
        <x:v>https://img.kwcdn.com/product/fancy/cfc7f003-fdc3-41ea-a49a-29734af63979.jpg?imageView2/2/w/300/q/70/format/avif</x:v>
      </x:c>
      <x:c r="Q80" s="11" t="str">
        <x:v>https://www.temu.com/bgt_order_receipt.html?parent_order_sn=PO-211-11605683185270601</x:v>
      </x:c>
    </x:row>
    <x:row r="81" ht="48" customHeight="1">
      <x:c r="A81" s="6" t="e">
        <x:f>IMAGE(P81)</x:f>
        <x:v>IMAGE is not implemented. source=https://img.kwcdn.com/product/fancy/c5f07ec2-8052-4994-b4ef-495921b9a03a.jpg?imageView2/2/w/300/q/70/format/avif, altText=undefined, sizing=undefined, height=undefined, width=undefined</x:v>
      </x:c>
      <x:c r="B81" s="7" t="n">
        <x:v>45894</x:v>
      </x:c>
      <x:c r="C81" s="6" t="str">
        <x:v>PO-211-11605683185270601</x:v>
      </x:c>
      <x:c r="D81" s="10" t="str">
        <x:v>3pcs Neon Light Self-Adhesive Tape, 3m Waterproof Fluorescent Tape, 10mm x 3m/Roll, Heat and Light Resistant Plastic Safety Tape with Blue, Orange, Green, Suitable for Party Events, Stairs, Hallways, Emergency Areas, Home Decor</x:v>
      </x:c>
      <x:c r="E81" s="10" t="str">
        <x:v>Mixed Color</x:v>
      </x:c>
      <x:c r="F81" s="8" t="n">
        <x:v>1</x:v>
      </x:c>
      <x:c r="G81" s="8" t="n">
        <x:v>19</x:v>
      </x:c>
      <x:c r="H81" s="9" t="n">
        <x:v>4.56</x:v>
      </x:c>
      <x:c r="I81" s="9" t="n">
        <x:v>4.56</x:v>
      </x:c>
      <x:c r="J81" s="9" t="n">
        <x:v>0</x:v>
      </x:c>
      <x:c r="K81" s="9" t="n">
        <x:f>IF(G81=0,0,J81/G81)</x:f>
        <x:v>0</x:v>
      </x:c>
      <x:c r="L81" s="9" t="n">
        <x:f>I81+K81</x:f>
        <x:v>4.56</x:v>
      </x:c>
      <x:c r="M81" s="9" t="n">
        <x:f>L81*F81</x:f>
        <x:v>4.56</x:v>
      </x:c>
      <x:c r="N81" s="9" t="n">
        <x:v>6.34</x:v>
      </x:c>
      <x:c r="O81" s="9" t="n">
        <x:v>93.84</x:v>
      </x:c>
      <x:c r="P81" s="11" t="str">
        <x:v>https://img.kwcdn.com/product/fancy/c5f07ec2-8052-4994-b4ef-495921b9a03a.jpg?imageView2/2/w/300/q/70/format/avif</x:v>
      </x:c>
      <x:c r="Q81" s="11" t="str">
        <x:v>https://www.temu.com/bgt_order_receipt.html?parent_order_sn=PO-211-11605683185270601</x:v>
      </x:c>
    </x:row>
    <x:row r="82" ht="48" customHeight="1">
      <x:c r="A82" s="6" t="e">
        <x:f>IMAGE(P82)</x:f>
        <x:v>IMAGE is not implemented. source=https://img.kwcdn.com/product/fancy/e4e0e9f2-af7c-4358-ad5f-27b70310c30c.jpg?imageView2/2/w/300/q/70/format/avif, altText=undefined, sizing=undefined, height=undefined, width=undefined</x:v>
      </x:c>
      <x:c r="B82" s="7" t="n">
        <x:v>45894</x:v>
      </x:c>
      <x:c r="C82" s="6" t="str">
        <x:v>PO-211-11605683185270601</x:v>
      </x:c>
      <x:c r="D82" s="10" t="str">
        <x:v>6 Rolls Colorful Glow-in-the-Dark Tape Set - Active Night Light Tape, Suitable for DIY Crafts, Party Decorations, Classroom Setup | Multi-Color Options, Stimulates Creativity</x:v>
      </x:c>
      <x:c r="E82" s="10" t="str">
        <x:v>0.71in*1196.85in 6rolls</x:v>
      </x:c>
      <x:c r="F82" s="8" t="n">
        <x:v>1</x:v>
      </x:c>
      <x:c r="G82" s="8" t="n">
        <x:v>19</x:v>
      </x:c>
      <x:c r="H82" s="9" t="n">
        <x:v>6.83</x:v>
      </x:c>
      <x:c r="I82" s="9" t="n">
        <x:v>6.83</x:v>
      </x:c>
      <x:c r="J82" s="9" t="n">
        <x:v>0</x:v>
      </x:c>
      <x:c r="K82" s="9" t="n">
        <x:f>IF(G82=0,0,J82/G82)</x:f>
        <x:v>0</x:v>
      </x:c>
      <x:c r="L82" s="9" t="n">
        <x:f>I82+K82</x:f>
        <x:v>6.83</x:v>
      </x:c>
      <x:c r="M82" s="9" t="n">
        <x:f>L82*F82</x:f>
        <x:v>6.83</x:v>
      </x:c>
      <x:c r="N82" s="9" t="n">
        <x:v>6.34</x:v>
      </x:c>
      <x:c r="O82" s="9" t="n">
        <x:v>93.84</x:v>
      </x:c>
      <x:c r="P82" s="11" t="str">
        <x:v>https://img.kwcdn.com/product/fancy/e4e0e9f2-af7c-4358-ad5f-27b70310c30c.jpg?imageView2/2/w/300/q/70/format/avif</x:v>
      </x:c>
      <x:c r="Q82" s="11" t="str">
        <x:v>https://www.temu.com/bgt_order_receipt.html?parent_order_sn=PO-211-11605683185270601</x:v>
      </x:c>
    </x:row>
    <x:row r="83" ht="48" customHeight="1">
      <x:c r="A83" s="6" t="e">
        <x:f>IMAGE(P83)</x:f>
        <x:v>IMAGE is not implemented. source=https://img.kwcdn.com/product/fancy/95ff33c5-ac4c-4f33-8ed1-e1f08cb3de71.jpg?imageView2/2/w/300/q/70/format/avif, altText=undefined, sizing=undefined, height=undefined, width=undefined</x:v>
      </x:c>
      <x:c r="B83" s="7" t="n">
        <x:v>45894</x:v>
      </x:c>
      <x:c r="C83" s="6" t="str">
        <x:v>PO-211-11605683185270601</x:v>
      </x:c>
      <x:c r="D83" s="10" t="str">
        <x:v>20pcs/30pcs Football Maze Game - Birthday Party Gift - Football Toy in Gift Bag!</x:v>
      </x:c>
      <x:c r="E83" s="10" t="str">
        <x:v>30pcs</x:v>
      </x:c>
      <x:c r="F83" s="8" t="n">
        <x:v>1</x:v>
      </x:c>
      <x:c r="G83" s="8" t="n">
        <x:v>19</x:v>
      </x:c>
      <x:c r="H83" s="9" t="n">
        <x:v>4.78</x:v>
      </x:c>
      <x:c r="I83" s="9" t="n">
        <x:v>4.78</x:v>
      </x:c>
      <x:c r="J83" s="9" t="n">
        <x:v>0</x:v>
      </x:c>
      <x:c r="K83" s="9" t="n">
        <x:f>IF(G83=0,0,J83/G83)</x:f>
        <x:v>0</x:v>
      </x:c>
      <x:c r="L83" s="9" t="n">
        <x:f>I83+K83</x:f>
        <x:v>4.78</x:v>
      </x:c>
      <x:c r="M83" s="9" t="n">
        <x:f>L83*F83</x:f>
        <x:v>4.78</x:v>
      </x:c>
      <x:c r="N83" s="9" t="n">
        <x:v>6.34</x:v>
      </x:c>
      <x:c r="O83" s="9" t="n">
        <x:v>93.84</x:v>
      </x:c>
      <x:c r="P83" s="11" t="str">
        <x:v>https://img.kwcdn.com/product/fancy/95ff33c5-ac4c-4f33-8ed1-e1f08cb3de71.jpg?imageView2/2/w/300/q/70/format/avif</x:v>
      </x:c>
      <x:c r="Q83" s="11" t="str">
        <x:v>https://www.temu.com/bgt_order_receipt.html?parent_order_sn=PO-211-11605683185270601</x:v>
      </x:c>
    </x:row>
    <x:row r="84" ht="48" customHeight="1">
      <x:c r="A84" s="6" t="e">
        <x:f>IMAGE(P84)</x:f>
        <x:v>IMAGE is not implemented. source=https://img.kwcdn.com/product/fancy/b5d6f7be-1ab8-4097-a357-3c60edce47ee.jpg?imageView2/2/w/300/q/70/format/avif, altText=undefined, sizing=undefined, height=undefined, width=undefined</x:v>
      </x:c>
      <x:c r="B84" s="7" t="n">
        <x:v>45894</x:v>
      </x:c>
      <x:c r="C84" s="6" t="str">
        <x:v>PO-211-11605683185270601</x:v>
      </x:c>
      <x:c r="D84" s="10" t="str">
        <x:v>[45pcs Capybara Keychain Set] 45pcs Cartoon Animal Capybara Keychain Set | PVC Material, DIY Beads Jewelry Accessories, Art Craft Supplies, No Batteries Required, Christmas Gifts, Party Gifts, Backpack Key Ring Car Hanging</x:v>
      </x:c>
      <x:c r="E84" s="10" t="str">
        <x:v>Polychrome / 45pcs</x:v>
      </x:c>
      <x:c r="F84" s="8" t="n">
        <x:v>1</x:v>
      </x:c>
      <x:c r="G84" s="8" t="n">
        <x:v>19</x:v>
      </x:c>
      <x:c r="H84" s="9" t="n">
        <x:v>7.73</x:v>
      </x:c>
      <x:c r="I84" s="9" t="n">
        <x:v>6.96</x:v>
      </x:c>
      <x:c r="J84" s="9" t="n">
        <x:v>0</x:v>
      </x:c>
      <x:c r="K84" s="9" t="n">
        <x:f>IF(G84=0,0,J84/G84)</x:f>
        <x:v>0</x:v>
      </x:c>
      <x:c r="L84" s="9" t="n">
        <x:f>I84+K84</x:f>
        <x:v>6.96</x:v>
      </x:c>
      <x:c r="M84" s="9" t="n">
        <x:f>L84*F84</x:f>
        <x:v>6.96</x:v>
      </x:c>
      <x:c r="N84" s="9" t="n">
        <x:v>6.34</x:v>
      </x:c>
      <x:c r="O84" s="9" t="n">
        <x:v>93.84</x:v>
      </x:c>
      <x:c r="P84" s="11" t="str">
        <x:v>https://img.kwcdn.com/product/fancy/b5d6f7be-1ab8-4097-a357-3c60edce47ee.jpg?imageView2/2/w/300/q/70/format/avif</x:v>
      </x:c>
      <x:c r="Q84" s="11" t="str">
        <x:v>https://www.temu.com/bgt_order_receipt.html?parent_order_sn=PO-211-11605683185270601</x:v>
      </x:c>
    </x:row>
    <x:row r="85" ht="48" customHeight="1">
      <x:c r="A85" s="6" t="e">
        <x:f>IMAGE(P85)</x:f>
        <x:v>IMAGE is not implemented. source=https://img.kwcdn.com/product/fancy/dc1488b0-68b3-4246-b641-ba7e7b119f99.jpg?imageView2/2/w/300/q/70/format/avif, altText=undefined, sizing=undefined, height=undefined, width=undefined</x:v>
      </x:c>
      <x:c r="B85" s="7" t="n">
        <x:v>45894</x:v>
      </x:c>
      <x:c r="C85" s="6" t="str">
        <x:v>PO-211-11605683185270601</x:v>
      </x:c>
      <x:c r="D85" s="10" t="str">
        <x:v>22pcs Creative Cartoon Astronaut Keychain Pendant Set, Handmade Creative Cute Character Keychain Pendant, Can Be Used for Bag, Car, Mobile Phone Case Decoration, Perfect Birthday, Party, Christmas Gift for Christmas, Halloween Decorations, Fall Home Decor Collectible Figurines</x:v>
      </x:c>
      <x:c r="E85" s="10" t="str">
        <x:v>Polychrome / 22pcs mixed</x:v>
      </x:c>
      <x:c r="F85" s="8" t="n">
        <x:v>1</x:v>
      </x:c>
      <x:c r="G85" s="8" t="n">
        <x:v>19</x:v>
      </x:c>
      <x:c r="H85" s="9" t="n">
        <x:v>7.91</x:v>
      </x:c>
      <x:c r="I85" s="9" t="n">
        <x:v>7.12</x:v>
      </x:c>
      <x:c r="J85" s="9" t="n">
        <x:v>0</x:v>
      </x:c>
      <x:c r="K85" s="9" t="n">
        <x:f>IF(G85=0,0,J85/G85)</x:f>
        <x:v>0</x:v>
      </x:c>
      <x:c r="L85" s="9" t="n">
        <x:f>I85+K85</x:f>
        <x:v>7.12</x:v>
      </x:c>
      <x:c r="M85" s="9" t="n">
        <x:f>L85*F85</x:f>
        <x:v>7.12</x:v>
      </x:c>
      <x:c r="N85" s="9" t="n">
        <x:v>6.34</x:v>
      </x:c>
      <x:c r="O85" s="9" t="n">
        <x:v>93.84</x:v>
      </x:c>
      <x:c r="P85" s="11" t="str">
        <x:v>https://img.kwcdn.com/product/fancy/dc1488b0-68b3-4246-b641-ba7e7b119f99.jpg?imageView2/2/w/300/q/70/format/avif</x:v>
      </x:c>
      <x:c r="Q85" s="11" t="str">
        <x:v>https://www.temu.com/bgt_order_receipt.html?parent_order_sn=PO-211-11605683185270601</x:v>
      </x:c>
    </x:row>
    <x:row r="86" ht="48" customHeight="1">
      <x:c r="A86" s="6" t="e">
        <x:f>IMAGE(P86)</x:f>
        <x:v>IMAGE is not implemented. source=https://img.kwcdn.com/product/fancy/2bffc386-ee49-481b-a0c0-ad2d0353faed.jpg?imageView2/2/w/300/q/70/format/avif, altText=undefined, sizing=undefined, height=undefined, width=undefined</x:v>
      </x:c>
      <x:c r="B86" s="7" t="n">
        <x:v>45894</x:v>
      </x:c>
      <x:c r="C86" s="6" t="str">
        <x:v>PO-211-11605683185270601</x:v>
      </x:c>
      <x:c r="D86" s="10" t="str">
        <x:v>Cartoon Rocket Pen Holder - Plastic Desk Organizer for Office Supplies and Student Stationery Storage, Office Supplies And Accessories</x:v>
      </x:c>
      <x:c r="E86" s="10" t="str">
        <x:v>Blue</x:v>
      </x:c>
      <x:c r="F86" s="8" t="n">
        <x:v>1</x:v>
      </x:c>
      <x:c r="G86" s="8" t="n">
        <x:v>19</x:v>
      </x:c>
      <x:c r="H86" s="9" t="n">
        <x:v>4.61</x:v>
      </x:c>
      <x:c r="I86" s="9" t="n">
        <x:v>4.61</x:v>
      </x:c>
      <x:c r="J86" s="9" t="n">
        <x:v>0</x:v>
      </x:c>
      <x:c r="K86" s="9" t="n">
        <x:f>IF(G86=0,0,J86/G86)</x:f>
        <x:v>0</x:v>
      </x:c>
      <x:c r="L86" s="9" t="n">
        <x:f>I86+K86</x:f>
        <x:v>4.61</x:v>
      </x:c>
      <x:c r="M86" s="9" t="n">
        <x:f>L86*F86</x:f>
        <x:v>4.61</x:v>
      </x:c>
      <x:c r="N86" s="9" t="n">
        <x:v>6.34</x:v>
      </x:c>
      <x:c r="O86" s="9" t="n">
        <x:v>93.84</x:v>
      </x:c>
      <x:c r="P86" s="11" t="str">
        <x:v>https://img.kwcdn.com/product/fancy/2bffc386-ee49-481b-a0c0-ad2d0353faed.jpg?imageView2/2/w/300/q/70/format/avif</x:v>
      </x:c>
      <x:c r="Q86" s="11" t="str">
        <x:v>https://www.temu.com/bgt_order_receipt.html?parent_order_sn=PO-211-11605683185270601</x:v>
      </x:c>
    </x:row>
    <x:row r="87" ht="48" customHeight="1">
      <x:c r="A87" s="6" t="e">
        <x:f>IMAGE(P87)</x:f>
        <x:v>IMAGE is not implemented. source=https://img.kwcdn.com/product/fancy/89f76163-2603-4afc-9e11-8fbb280f5707.jpg?imageView2/2/w/300/q/70/format/avif, altText=undefined, sizing=undefined, height=undefined, width=undefined</x:v>
      </x:c>
      <x:c r="B87" s="7" t="n">
        <x:v>45894</x:v>
      </x:c>
      <x:c r="C87" s="6" t="str">
        <x:v>PO-211-11605683185270601</x:v>
      </x:c>
      <x:c r="D87" s="10" t="str">
        <x:v>Cartoon Rocket Pen Holder - Plastic Desk Organizer for Office Supplies and Student Stationery Storage, Office Supplies And Accessories</x:v>
      </x:c>
      <x:c r="E87" s="10" t="str">
        <x:v>Pink</x:v>
      </x:c>
      <x:c r="F87" s="8" t="n">
        <x:v>1</x:v>
      </x:c>
      <x:c r="G87" s="8" t="n">
        <x:v>19</x:v>
      </x:c>
      <x:c r="H87" s="9" t="n">
        <x:v>3.01</x:v>
      </x:c>
      <x:c r="I87" s="9" t="n">
        <x:v>3.01</x:v>
      </x:c>
      <x:c r="J87" s="9" t="n">
        <x:v>0</x:v>
      </x:c>
      <x:c r="K87" s="9" t="n">
        <x:f>IF(G87=0,0,J87/G87)</x:f>
        <x:v>0</x:v>
      </x:c>
      <x:c r="L87" s="9" t="n">
        <x:f>I87+K87</x:f>
        <x:v>3.01</x:v>
      </x:c>
      <x:c r="M87" s="9" t="n">
        <x:f>L87*F87</x:f>
        <x:v>3.01</x:v>
      </x:c>
      <x:c r="N87" s="9" t="n">
        <x:v>6.34</x:v>
      </x:c>
      <x:c r="O87" s="9" t="n">
        <x:v>93.84</x:v>
      </x:c>
      <x:c r="P87" s="11" t="str">
        <x:v>https://img.kwcdn.com/product/fancy/89f76163-2603-4afc-9e11-8fbb280f5707.jpg?imageView2/2/w/300/q/70/format/avif</x:v>
      </x:c>
      <x:c r="Q87" s="11" t="str">
        <x:v>https://www.temu.com/bgt_order_receipt.html?parent_order_sn=PO-211-11605683185270601</x:v>
      </x:c>
    </x:row>
    <x:row r="88" ht="48" customHeight="1">
      <x:c r="A88" s="6" t="e">
        <x:f>IMAGE(P88)</x:f>
        <x:v>IMAGE is not implemented. source=https://img.kwcdn.com/product/fancy/5919d01c-13b0-47b9-bdd6-f27fd2639e31.jpg?imageView2/2/w/300/q/70/format/avif, altText=undefined, sizing=undefined, height=undefined, width=undefined</x:v>
      </x:c>
      <x:c r="B88" s="7" t="n">
        <x:v>45894</x:v>
      </x:c>
      <x:c r="C88" s="6" t="str">
        <x:v>PO-211-11605683185270601</x:v>
      </x:c>
      <x:c r="D88" s="10" t="str">
        <x:v>8/12/14/20/22/26/34pcs Brain Rot B Theme, Classic and Unique – Inspire Unlimited Creativity. Perfect for DIY Decorations: Shoes, Bags, Bracelets, Party Favors, Holiday Gifts, Birthday Presents to Showcase Your Individuality</x:v>
      </x:c>
      <x:c r="E88" s="10" t="str">
        <x:v>34-Piece Brain Rot B Theme Shoe Accessories Set</x:v>
      </x:c>
      <x:c r="F88" s="8" t="n">
        <x:v>4</x:v>
      </x:c>
      <x:c r="G88" s="8" t="n">
        <x:v>19</x:v>
      </x:c>
      <x:c r="H88" s="9" t="n">
        <x:v>5.34</x:v>
      </x:c>
      <x:c r="I88" s="9" t="n">
        <x:v>5.34</x:v>
      </x:c>
      <x:c r="J88" s="9" t="n">
        <x:v>0</x:v>
      </x:c>
      <x:c r="K88" s="9" t="n">
        <x:f>IF(G88=0,0,J88/G88)</x:f>
        <x:v>0</x:v>
      </x:c>
      <x:c r="L88" s="9" t="n">
        <x:f>I88+K88</x:f>
        <x:v>5.34</x:v>
      </x:c>
      <x:c r="M88" s="9" t="n">
        <x:f>L88*F88</x:f>
        <x:v>21.36</x:v>
      </x:c>
      <x:c r="N88" s="9" t="n">
        <x:v>6.34</x:v>
      </x:c>
      <x:c r="O88" s="9" t="n">
        <x:v>93.84</x:v>
      </x:c>
      <x:c r="P88" s="11" t="str">
        <x:v>https://img.kwcdn.com/product/fancy/5919d01c-13b0-47b9-bdd6-f27fd2639e31.jpg?imageView2/2/w/300/q/70/format/avif</x:v>
      </x:c>
      <x:c r="Q88" s="11" t="str">
        <x:v>https://www.temu.com/bgt_order_receipt.html?parent_order_sn=PO-211-11605683185270601</x:v>
      </x:c>
    </x:row>
    <x:row r="89" ht="48" customHeight="1">
      <x:c r="A89" s="6" t="e">
        <x:f>IMAGE(P89)</x:f>
        <x:v>IMAGE is not implemented. source=https://img.kwcdn.com/product/fancy/98978679-0835-4203-bbaa-afda345292ef.jpg?imageView2/2/w/300/q/70/format/avif, altText=undefined, sizing=undefined, height=undefined, width=undefined</x:v>
      </x:c>
      <x:c r="B89" s="7" t="n">
        <x:v>45894</x:v>
      </x:c>
      <x:c r="C89" s="6" t="str">
        <x:v>PO-211-11605683185270601</x:v>
      </x:c>
      <x:c r="D89" s="10" t="str">
        <x:v>16pcs Italian Brainrot Series Glow-in-the-Dark Plastic Charms - Halloween-Themed Decorative Accessories for Clogs, Bubble Slides, Sandals - Perfect for Birthday, Party Favors, Valentine'S Day, Halloween Decorations, Without Battery</x:v>
      </x:c>
      <x:c r="E89" s="10" t="str">
        <x:v>B19-16pcs</x:v>
      </x:c>
      <x:c r="F89" s="8" t="n">
        <x:v>2</x:v>
      </x:c>
      <x:c r="G89" s="8" t="n">
        <x:v>19</x:v>
      </x:c>
      <x:c r="H89" s="9" t="n">
        <x:v>3.34</x:v>
      </x:c>
      <x:c r="I89" s="9" t="n">
        <x:v>3.34</x:v>
      </x:c>
      <x:c r="J89" s="9" t="n">
        <x:v>0</x:v>
      </x:c>
      <x:c r="K89" s="9" t="n">
        <x:f>IF(G89=0,0,J89/G89)</x:f>
        <x:v>0</x:v>
      </x:c>
      <x:c r="L89" s="9" t="n">
        <x:f>I89+K89</x:f>
        <x:v>3.34</x:v>
      </x:c>
      <x:c r="M89" s="9" t="n">
        <x:f>L89*F89</x:f>
        <x:v>6.68</x:v>
      </x:c>
      <x:c r="N89" s="9" t="n">
        <x:v>6.34</x:v>
      </x:c>
      <x:c r="O89" s="9" t="n">
        <x:v>93.84</x:v>
      </x:c>
      <x:c r="P89" s="11" t="str">
        <x:v>https://img.kwcdn.com/product/fancy/98978679-0835-4203-bbaa-afda345292ef.jpg?imageView2/2/w/300/q/70/format/avif</x:v>
      </x:c>
      <x:c r="Q89" s="11" t="str">
        <x:v>https://www.temu.com/bgt_order_receipt.html?parent_order_sn=PO-211-11605683185270601</x:v>
      </x:c>
    </x:row>
    <x:row r="90" ht="48" customHeight="1">
      <x:c r="A90" s="6" t="e">
        <x:f>IMAGE(P90)</x:f>
        <x:v>IMAGE is not implemented. source=https://img.kwcdn.com/product/fancy/998bb673-e77b-44cc-af12-b2a0a8c5f46a.jpg?imageView2/2/w/300/q/70/format/avif, altText=undefined, sizing=undefined, height=undefined, width=undefined</x:v>
      </x:c>
      <x:c r="B90" s="7" t="n">
        <x:v>45894</x:v>
      </x:c>
      <x:c r="C90" s="6" t="str">
        <x:v>PO-211-11605683185270601</x:v>
      </x:c>
      <x:c r="D90" s="10" t="str">
        <x:v>10pcs, Italian Brainrot Theme Series Cute Animal Shoe Charms - Glasses Frog/Tire Toad Banana Monkey Bird, 10pcs Dreamy Pet-Shaped PVC Soft Gel Material for Garden Clown Sandals Slippers Bag Straps Perfect Gift Halloween Return Season Carnival Birthday DIY Accessories Holiday Present Whimsical Decor Lightweight Additions, Festival Decorations, Playful Design, Fantasy Pet Shapes, Flexible Accessories, Durable Material, Fun Embellishments, Fashion Lovers</x:v>
      </x:c>
      <x:c r="E90" s="10" t="str">
        <x:v>Fantasy Creativity</x:v>
      </x:c>
      <x:c r="F90" s="8" t="n">
        <x:v>5</x:v>
      </x:c>
      <x:c r="G90" s="8" t="n">
        <x:v>19</x:v>
      </x:c>
      <x:c r="H90" s="9" t="n">
        <x:v>2.15</x:v>
      </x:c>
      <x:c r="I90" s="9" t="n">
        <x:v>2.11</x:v>
      </x:c>
      <x:c r="J90" s="9" t="n">
        <x:v>0</x:v>
      </x:c>
      <x:c r="K90" s="9" t="n">
        <x:f>IF(G90=0,0,J90/G90)</x:f>
        <x:v>0</x:v>
      </x:c>
      <x:c r="L90" s="9" t="n">
        <x:f>I90+K90</x:f>
        <x:v>2.11</x:v>
      </x:c>
      <x:c r="M90" s="9" t="n">
        <x:f>L90*F90</x:f>
        <x:v>10.549999999999999</x:v>
      </x:c>
      <x:c r="N90" s="9" t="n">
        <x:v>6.34</x:v>
      </x:c>
      <x:c r="O90" s="9" t="n">
        <x:v>93.84</x:v>
      </x:c>
      <x:c r="P90" s="11" t="str">
        <x:v>https://img.kwcdn.com/product/fancy/998bb673-e77b-44cc-af12-b2a0a8c5f46a.jpg?imageView2/2/w/300/q/70/format/avif</x:v>
      </x:c>
      <x:c r="Q90" s="11" t="str">
        <x:v>https://www.temu.com/bgt_order_receipt.html?parent_order_sn=PO-211-11605683185270601</x:v>
      </x:c>
    </x:row>
    <x:row r="91" ht="48" customHeight="1">
      <x:c r="A91" s="6" t="e">
        <x:f>IMAGE(P91)</x:f>
        <x:v>IMAGE is not implemented. source=https://img.kwcdn.com/product/fancy/7ce4d22c-887a-4f5e-adbe-90f636ea34aa.jpg?imageView2/2/w/300/q/70/format/avif, altText=undefined, sizing=undefined, height=undefined, width=undefined</x:v>
      </x:c>
      <x:c r="B91" s="7" t="n">
        <x:v>45894</x:v>
      </x:c>
      <x:c r="C91" s="6" t="str">
        <x:v>PO-211-11605725128310601</x:v>
      </x:c>
      <x:c r="D91" s="10" t="str">
        <x:v>32-Pack Exquisite Capybara Cards, 5 Random Cards Per Pack, Total 160 Cards, Cute Capybara Illustrations, Suitable for Players Who Like Collecting Cards, Meaningful Gift for Friends Who Love Capybara, Card Game Accessories | Playful Design | Durable Card Stock, Capybara Accessories</x:v>
      </x:c>
      <x:c r="E91" s="10" t="str">
        <x:v>160 Sheets (32 Packs)</x:v>
      </x:c>
      <x:c r="F91" s="8" t="n">
        <x:v>1</x:v>
      </x:c>
      <x:c r="G91" s="8" t="n">
        <x:v>1</x:v>
      </x:c>
      <x:c r="H91" s="9" t="n">
        <x:v>13.07</x:v>
      </x:c>
      <x:c r="I91" s="9" t="n">
        <x:v>13.07</x:v>
      </x:c>
      <x:c r="J91" s="9" t="n">
        <x:v>2.99</x:v>
      </x:c>
      <x:c r="K91" s="9" t="n">
        <x:f>IF(G91=0,0,J91/G91)</x:f>
        <x:v>2.99</x:v>
      </x:c>
      <x:c r="L91" s="9" t="n">
        <x:f>I91+K91</x:f>
        <x:v>16.060000000000002</x:v>
      </x:c>
      <x:c r="M91" s="9" t="n">
        <x:f>L91*F91</x:f>
        <x:v>16.060000000000002</x:v>
      </x:c>
      <x:c r="N91" s="9" t="n">
        <x:v>0.95</x:v>
      </x:c>
      <x:c r="O91" s="9" t="n">
        <x:v>17.01</x:v>
      </x:c>
      <x:c r="P91" s="11" t="str">
        <x:v>https://img.kwcdn.com/product/fancy/7ce4d22c-887a-4f5e-adbe-90f636ea34aa.jpg?imageView2/2/w/300/q/70/format/avif</x:v>
      </x:c>
      <x:c r="Q91" s="11" t="str">
        <x:v>https://www.temu.com/bgt_order_receipt.html?parent_order_sn=PO-211-11605725128310601</x:v>
      </x:c>
    </x:row>
    <x:row r="92" ht="48" customHeight="1">
      <x:c r="A92" s="6" t="e">
        <x:f>IMAGE(P92)</x:f>
        <x:v>IMAGE is not implemented. source=https://img.kwcdn.com/product/fancy/f6d0b806-2a9c-4a21-a6d5-2f6851cd7438.jpg?imageView2/2/w/300/q/70/format/avif, altText=undefined, sizing=undefined, height=undefined, width=undefined</x:v>
      </x:c>
      <x:c r="B92" s="7" t="n">
        <x:v>45894</x:v>
      </x:c>
      <x:c r="C92" s="6" t="str">
        <x:v>PO-211-11605767071350601</x:v>
      </x:c>
      <x:c r="D92" s="10" t="str">
        <x:v>[Tyute LED Light Strip] Tyute 16.4ft White LED Light Strip with Battery Box - Cuttable, Multi-Purpose Decorative Lighting for Outdoor Camping, Festivals, Parties, Weddings (Batteries Not Supplied)</x:v>
      </x:c>
      <x:c r="E92" s="10" t="str">
        <x:v>TPDD-196.85inch-DCH</x:v>
      </x:c>
      <x:c r="F92" s="8" t="n">
        <x:v>1</x:v>
      </x:c>
      <x:c r="G92" s="8" t="n">
        <x:v>6</x:v>
      </x:c>
      <x:c r="H92" s="9" t="n">
        <x:v>3.66</x:v>
      </x:c>
      <x:c r="I92" s="9" t="n">
        <x:v>3.34</x:v>
      </x:c>
      <x:c r="J92" s="9" t="n">
        <x:v>0</x:v>
      </x:c>
      <x:c r="K92" s="9" t="n">
        <x:f>IF(G92=0,0,J92/G92)</x:f>
        <x:v>0</x:v>
      </x:c>
      <x:c r="L92" s="9" t="n">
        <x:f>I92+K92</x:f>
        <x:v>3.34</x:v>
      </x:c>
      <x:c r="M92" s="9" t="n">
        <x:f>L92*F92</x:f>
        <x:v>3.34</x:v>
      </x:c>
      <x:c r="N92" s="9" t="n">
        <x:v>2.36</x:v>
      </x:c>
      <x:c r="O92" s="9" t="n">
        <x:v>34.87</x:v>
      </x:c>
      <x:c r="P92" s="11" t="str">
        <x:v>https://img.kwcdn.com/product/fancy/f6d0b806-2a9c-4a21-a6d5-2f6851cd7438.jpg?imageView2/2/w/300/q/70/format/avif</x:v>
      </x:c>
      <x:c r="Q92" s="11" t="str">
        <x:v>https://www.temu.com/bgt_order_receipt.html?parent_order_sn=PO-211-11605767071350601</x:v>
      </x:c>
    </x:row>
    <x:row r="93" ht="48" customHeight="1">
      <x:c r="A93" s="6" t="e">
        <x:f>IMAGE(P93)</x:f>
        <x:v>IMAGE is not implemented. source=https://img.kwcdn.com/product/fancy/fbaf7694-ecd9-4432-9cdb-fe919dd5c4f9.jpg?imageView2/2/w/300/q/70/format/avif, altText=undefined, sizing=undefined, height=undefined, width=undefined</x:v>
      </x:c>
      <x:c r="B93" s="7" t="n">
        <x:v>45894</x:v>
      </x:c>
      <x:c r="C93" s="6" t="str">
        <x:v>PO-211-11605767071350601</x:v>
      </x:c>
      <x:c r="D93" s="10" t="str">
        <x:v>Tyute Cabinet Lights, Multi-color Lighting, Suitable for Bedroom Bedside, Patio, Eaves, Halloween And Christmas Decorations, Holiday Decorations, Vibrant Colorful Lights, Christmas Gift Gifts, Festive Lighting, Seasonal Decorations, Decorative Lights, Vibrant Lighting, LED Lights, Usbpowered Lights, Holiday Lights, Decorative Lighting, Gift Shoppers, Interior Designers</x:v>
      </x:c>
      <x:c r="E93" s="10" t="str">
        <x:v>WYD-10pcs</x:v>
      </x:c>
      <x:c r="F93" s="8" t="n">
        <x:v>2</x:v>
      </x:c>
      <x:c r="G93" s="8" t="n">
        <x:v>6</x:v>
      </x:c>
      <x:c r="H93" s="9" t="n">
        <x:v>5.81</x:v>
      </x:c>
      <x:c r="I93" s="9" t="n">
        <x:v>5.81</x:v>
      </x:c>
      <x:c r="J93" s="9" t="n">
        <x:v>0</x:v>
      </x:c>
      <x:c r="K93" s="9" t="n">
        <x:f>IF(G93=0,0,J93/G93)</x:f>
        <x:v>0</x:v>
      </x:c>
      <x:c r="L93" s="9" t="n">
        <x:f>I93+K93</x:f>
        <x:v>5.81</x:v>
      </x:c>
      <x:c r="M93" s="9" t="n">
        <x:f>L93*F93</x:f>
        <x:v>11.62</x:v>
      </x:c>
      <x:c r="N93" s="9" t="n">
        <x:v>2.36</x:v>
      </x:c>
      <x:c r="O93" s="9" t="n">
        <x:v>34.87</x:v>
      </x:c>
      <x:c r="P93" s="11" t="str">
        <x:v>https://img.kwcdn.com/product/fancy/fbaf7694-ecd9-4432-9cdb-fe919dd5c4f9.jpg?imageView2/2/w/300/q/70/format/avif</x:v>
      </x:c>
      <x:c r="Q93" s="11" t="str">
        <x:v>https://www.temu.com/bgt_order_receipt.html?parent_order_sn=PO-211-11605767071350601</x:v>
      </x:c>
    </x:row>
    <x:row r="94" ht="48" customHeight="1">
      <x:c r="A94" s="6" t="e">
        <x:f>IMAGE(P94)</x:f>
        <x:v>IMAGE is not implemented. source=https://img.kwcdn.com/product/fancy/e369377b-5f4b-47c8-87bd-195493c12f61.jpg?imageView2/2/w/300/q/70/format/avif, altText=undefined, sizing=undefined, height=undefined, width=undefined</x:v>
      </x:c>
      <x:c r="B94" s="7" t="n">
        <x:v>45894</x:v>
      </x:c>
      <x:c r="C94" s="6" t="str">
        <x:v>PO-211-11605767071350601</x:v>
      </x:c>
      <x:c r="D94" s="10" t="str">
        <x:v>196.85inch-Tyute5V Colorful Neon Lights, RGB Color Changing Strip, Music Sync APP Control Lights - for Christmas, Home Decoration, Party, Wedding, Birthday, Holiday Lighting, Vivid Lighting, Easy to Install, Party Lighting, Festive Illumination, Event Decor, Dynamic Lighting Effects, Highquality Strips, LED Strip Lights, Smart LED Strips, Party Organizers, Event Planners</x:v>
      </x:c>
      <x:c r="E94" s="10" t="str">
        <x:v>G.JDD-LG-196.85inch</x:v>
      </x:c>
      <x:c r="F94" s="8" t="n">
        <x:v>1</x:v>
      </x:c>
      <x:c r="G94" s="8" t="n">
        <x:v>6</x:v>
      </x:c>
      <x:c r="H94" s="9" t="n">
        <x:v>10.86</x:v>
      </x:c>
      <x:c r="I94" s="9" t="n">
        <x:v>10.86</x:v>
      </x:c>
      <x:c r="J94" s="9" t="n">
        <x:v>0</x:v>
      </x:c>
      <x:c r="K94" s="9" t="n">
        <x:f>IF(G94=0,0,J94/G94)</x:f>
        <x:v>0</x:v>
      </x:c>
      <x:c r="L94" s="9" t="n">
        <x:f>I94+K94</x:f>
        <x:v>10.86</x:v>
      </x:c>
      <x:c r="M94" s="9" t="n">
        <x:f>L94*F94</x:f>
        <x:v>10.86</x:v>
      </x:c>
      <x:c r="N94" s="9" t="n">
        <x:v>2.36</x:v>
      </x:c>
      <x:c r="O94" s="9" t="n">
        <x:v>34.87</x:v>
      </x:c>
      <x:c r="P94" s="11" t="str">
        <x:v>https://img.kwcdn.com/product/fancy/e369377b-5f4b-47c8-87bd-195493c12f61.jpg?imageView2/2/w/300/q/70/format/avif</x:v>
      </x:c>
      <x:c r="Q94" s="11" t="str">
        <x:v>https://www.temu.com/bgt_order_receipt.html?parent_order_sn=PO-211-11605767071350601</x:v>
      </x:c>
    </x:row>
    <x:row r="95" ht="48" customHeight="1">
      <x:c r="A95" s="6" t="e">
        <x:f>IMAGE(P95)</x:f>
        <x:v>IMAGE is not implemented. source=https://img.kwcdn.com/product/fancy/acdf945d-39f8-4d32-90c9-5c8d5ba93aba.jpg?imageView2/2/w/300/q/70/format/avif, altText=undefined, sizing=undefined, height=undefined, width=undefined</x:v>
      </x:c>
      <x:c r="B95" s="7" t="n">
        <x:v>45894</x:v>
      </x:c>
      <x:c r="C95" s="6" t="str">
        <x:v>PO-211-11605767071350601</x:v>
      </x:c>
      <x:c r="D95" s="10" t="str">
        <x:v>Tyute-Switch Warm Light Strip Set, Dimmable Warm White LED Strip, Bright, Sticky, Flexible, Suitable for Mirrors, Cabinets, Bedrooms, And Christmas Decorations.</x:v>
      </x:c>
      <x:c r="E95" s="10" t="str">
        <x:v>DSDD-39.37inch-AN</x:v>
      </x:c>
      <x:c r="F95" s="8" t="n">
        <x:v>1</x:v>
      </x:c>
      <x:c r="G95" s="8" t="n">
        <x:v>6</x:v>
      </x:c>
      <x:c r="H95" s="9" t="n">
        <x:v>3.32</x:v>
      </x:c>
      <x:c r="I95" s="9" t="n">
        <x:v>3.02</x:v>
      </x:c>
      <x:c r="J95" s="9" t="n">
        <x:v>0</x:v>
      </x:c>
      <x:c r="K95" s="9" t="n">
        <x:f>IF(G95=0,0,J95/G95)</x:f>
        <x:v>0</x:v>
      </x:c>
      <x:c r="L95" s="9" t="n">
        <x:f>I95+K95</x:f>
        <x:v>3.02</x:v>
      </x:c>
      <x:c r="M95" s="9" t="n">
        <x:f>L95*F95</x:f>
        <x:v>3.02</x:v>
      </x:c>
      <x:c r="N95" s="9" t="n">
        <x:v>2.36</x:v>
      </x:c>
      <x:c r="O95" s="9" t="n">
        <x:v>34.87</x:v>
      </x:c>
      <x:c r="P95" s="11" t="str">
        <x:v>https://img.kwcdn.com/product/fancy/acdf945d-39f8-4d32-90c9-5c8d5ba93aba.jpg?imageView2/2/w/300/q/70/format/avif</x:v>
      </x:c>
      <x:c r="Q95" s="11" t="str">
        <x:v>https://www.temu.com/bgt_order_receipt.html?parent_order_sn=PO-211-11605767071350601</x:v>
      </x:c>
    </x:row>
    <x:row r="96" ht="48" customHeight="1">
      <x:c r="A96" s="6" t="e">
        <x:f>IMAGE(P96)</x:f>
        <x:v>IMAGE is not implemented. source=https://img.kwcdn.com/product/fancy/16e587e3-8880-4cdb-84c6-6c20c37da4f7.jpg?imageView2/2/w/300/q/70/format/avif, altText=undefined, sizing=undefined, height=undefined, width=undefined</x:v>
      </x:c>
      <x:c r="B96" s="7" t="n">
        <x:v>45894</x:v>
      </x:c>
      <x:c r="C96" s="6" t="str">
        <x:v>PO-211-11605767071350601</x:v>
      </x:c>
      <x:c r="D96" s="10" t="str">
        <x:v>[RGB Neon Bluetooth Strip] 1M-Tyute5V RGB Neon Bluetooth Infrared (44 Keys) RGB Color Changing Strip | Music Sync APP Control Lights - Suitable for Christmas, Home Decor, Party, Wedding, Birthday, Festival Lighting, Vivid Lighting, Easy to Install, Party Lighting</x:v>
      </x:c>
      <x:c r="E96" s="10" t="str">
        <x:v>GJDD-39.37inch-HC-LYHW</x:v>
      </x:c>
      <x:c r="F96" s="8" t="n">
        <x:v>1</x:v>
      </x:c>
      <x:c r="G96" s="8" t="n">
        <x:v>6</x:v>
      </x:c>
      <x:c r="H96" s="9" t="n">
        <x:v>4.02</x:v>
      </x:c>
      <x:c r="I96" s="9" t="n">
        <x:v>3.67</x:v>
      </x:c>
      <x:c r="J96" s="9" t="n">
        <x:v>0</x:v>
      </x:c>
      <x:c r="K96" s="9" t="n">
        <x:f>IF(G96=0,0,J96/G96)</x:f>
        <x:v>0</x:v>
      </x:c>
      <x:c r="L96" s="9" t="n">
        <x:f>I96+K96</x:f>
        <x:v>3.67</x:v>
      </x:c>
      <x:c r="M96" s="9" t="n">
        <x:f>L96*F96</x:f>
        <x:v>3.67</x:v>
      </x:c>
      <x:c r="N96" s="9" t="n">
        <x:v>2.36</x:v>
      </x:c>
      <x:c r="O96" s="9" t="n">
        <x:v>34.87</x:v>
      </x:c>
      <x:c r="P96" s="11" t="str">
        <x:v>https://img.kwcdn.com/product/fancy/16e587e3-8880-4cdb-84c6-6c20c37da4f7.jpg?imageView2/2/w/300/q/70/format/avif</x:v>
      </x:c>
      <x:c r="Q96" s="11" t="str">
        <x:v>https://www.temu.com/bgt_order_receipt.html?parent_order_sn=PO-211-11605767071350601</x:v>
      </x:c>
    </x:row>
    <x:row r="97" ht="48" customHeight="1">
      <x:c r="A97" s="6" t="e">
        <x:f>IMAGE(P97)</x:f>
        <x:v>IMAGE is not implemented. source=https://img.kwcdn.com/product/fancy/b478f1d9-a664-469b-81c9-6e45b4b8d02d.jpg?imageView2/2/w/300/q/70/format/avif, altText=undefined, sizing=undefined, height=undefined, width=undefined</x:v>
      </x:c>
      <x:c r="B97" s="7" t="n">
        <x:v>45880</x:v>
      </x:c>
      <x:c r="C97" s="6" t="str">
        <x:v>PO-211-17446857267830601</x:v>
      </x:c>
      <x:c r="D97" s="10" t="str">
        <x:v>24pcs Tung-Tung-Sahur Mystery Box Keychain Set, Randomly Packaged with Keychains, Pendants And Multi-Functional Pouch Rings, Suitable for Father'S Day Gifts, Birthday Gifts Or Valentine'S Day Gift</x:v>
      </x:c>
      <x:c r="E97" s="10" t="str">
        <x:v>24 pieces</x:v>
      </x:c>
      <x:c r="F97" s="8" t="n">
        <x:v>3</x:v>
      </x:c>
      <x:c r="G97" s="8" t="n">
        <x:v>3</x:v>
      </x:c>
      <x:c r="H97" s="9" t="n">
        <x:v>10.49</x:v>
      </x:c>
      <x:c r="I97" s="9" t="n">
        <x:v>10.49</x:v>
      </x:c>
      <x:c r="J97" s="9" t="n">
        <x:v>0</x:v>
      </x:c>
      <x:c r="K97" s="9" t="n">
        <x:f>IF(G97=0,0,J97/G97)</x:f>
        <x:v>0</x:v>
      </x:c>
      <x:c r="L97" s="9" t="n">
        <x:f>I97+K97</x:f>
        <x:v>10.49</x:v>
      </x:c>
      <x:c r="M97" s="9" t="n">
        <x:f>L97*F97</x:f>
        <x:v>31.47</x:v>
      </x:c>
      <x:c r="N97" s="9" t="n">
        <x:v>2.28</x:v>
      </x:c>
      <x:c r="O97" s="9" t="n">
        <x:v>33.75</x:v>
      </x:c>
      <x:c r="P97" s="11" t="str">
        <x:v>https://img.kwcdn.com/product/fancy/b478f1d9-a664-469b-81c9-6e45b4b8d02d.jpg?imageView2/2/w/300/q/70/format/avif</x:v>
      </x:c>
      <x:c r="Q97" s="11" t="str">
        <x:v>https://www.temu.com/bgt_order_receipt.html?parent_order_sn=PO-211-17446857267830601</x:v>
      </x:c>
    </x:row>
    <x:row r="98" ht="48" customHeight="1">
      <x:c r="A98" s="6" t="e">
        <x:f>IMAGE(P98)</x:f>
        <x:v>IMAGE is not implemented. source=https://img.kwcdn.com/product/fancy/d43f94e2-2b9a-44ab-b475-5eaab4469c92.jpg?imageView2/2/w/300/q/70/format/avif, altText=undefined, sizing=undefined, height=undefined, width=undefined</x:v>
      </x:c>
      <x:c r="B98" s="7" t="n">
        <x:v>45880</x:v>
      </x:c>
      <x:c r="C98" s="6" t="str">
        <x:v>PO-211-17446899210870601</x:v>
      </x:c>
      <x:c r="D98" s="10" t="str">
        <x:v>288-Card Italian Brainrot Collectible Card Game - TungTungSahur Strategy Deck, 36 Packs per Box (8 Cards Each), Anime-Style Battle Series, Random Outer Packaging, Vibrant Art Design, Colorful Illustrations, Competitive Gameplay, Premium Cardstock for Gamers &amp; Collectors</x:v>
      </x:c>
      <x:c r="E98" s="10" t="str">
        <x:v>Style 2</x:v>
      </x:c>
      <x:c r="F98" s="8" t="n">
        <x:v>1</x:v>
      </x:c>
      <x:c r="G98" s="8" t="n">
        <x:v>6</x:v>
      </x:c>
      <x:c r="H98" s="9" t="n">
        <x:v>11.65</x:v>
      </x:c>
      <x:c r="I98" s="9" t="n">
        <x:v>11.65</x:v>
      </x:c>
      <x:c r="J98" s="9" t="n">
        <x:v>0</x:v>
      </x:c>
      <x:c r="K98" s="9" t="n">
        <x:f>IF(G98=0,0,J98/G98)</x:f>
        <x:v>0</x:v>
      </x:c>
      <x:c r="L98" s="9" t="n">
        <x:f>I98+K98</x:f>
        <x:v>11.65</x:v>
      </x:c>
      <x:c r="M98" s="9" t="n">
        <x:f>L98*F98</x:f>
        <x:v>11.65</x:v>
      </x:c>
      <x:c r="N98" s="9" t="n">
        <x:v>2.25</x:v>
      </x:c>
      <x:c r="O98" s="9" t="n">
        <x:v>33.33</x:v>
      </x:c>
      <x:c r="P98" s="11" t="str">
        <x:v>https://img.kwcdn.com/product/fancy/d43f94e2-2b9a-44ab-b475-5eaab4469c92.jpg?imageView2/2/w/300/q/70/format/avif</x:v>
      </x:c>
      <x:c r="Q98" s="11" t="str">
        <x:v>https://www.temu.com/bgt_order_receipt.html?parent_order_sn=PO-211-17446899210870601</x:v>
      </x:c>
    </x:row>
    <x:row r="99" ht="48" customHeight="1">
      <x:c r="A99" s="6" t="e">
        <x:f>IMAGE(P99)</x:f>
        <x:v>IMAGE is not implemented. source=https://img.kwcdn.com/product/fancy/dd27409c-d106-49a9-a1cb-12191396b9bd.jpg?imageView2/2/w/300/q/70/format/avif, altText=undefined, sizing=undefined, height=undefined, width=undefined</x:v>
      </x:c>
      <x:c r="B99" s="7" t="n">
        <x:v>45880</x:v>
      </x:c>
      <x:c r="C99" s="6" t="str">
        <x:v>PO-211-17446899210870601</x:v>
      </x:c>
      <x:c r="D99" s="10" t="str">
        <x:v>5pcs Cute and Versatile Soft Rubber Cartoon Banana Keychains, Bag Charms - Perfect Back-to- Surprise Gift for Students and Classmates</x:v>
      </x:c>
      <x:c r="E99" s="10" t="str">
        <x:v>5pcs</x:v>
      </x:c>
      <x:c r="F99" s="8" t="n">
        <x:v>4</x:v>
      </x:c>
      <x:c r="G99" s="8" t="n">
        <x:v>6</x:v>
      </x:c>
      <x:c r="H99" s="9" t="n">
        <x:v>3.96</x:v>
      </x:c>
      <x:c r="I99" s="9" t="n">
        <x:v>3.87</x:v>
      </x:c>
      <x:c r="J99" s="9" t="n">
        <x:v>0</x:v>
      </x:c>
      <x:c r="K99" s="9" t="n">
        <x:f>IF(G99=0,0,J99/G99)</x:f>
        <x:v>0</x:v>
      </x:c>
      <x:c r="L99" s="9" t="n">
        <x:f>I99+K99</x:f>
        <x:v>3.87</x:v>
      </x:c>
      <x:c r="M99" s="9" t="n">
        <x:f>L99*F99</x:f>
        <x:v>15.48</x:v>
      </x:c>
      <x:c r="N99" s="9" t="n">
        <x:v>2.25</x:v>
      </x:c>
      <x:c r="O99" s="9" t="n">
        <x:v>33.33</x:v>
      </x:c>
      <x:c r="P99" s="11" t="str">
        <x:v>https://img.kwcdn.com/product/fancy/dd27409c-d106-49a9-a1cb-12191396b9bd.jpg?imageView2/2/w/300/q/70/format/avif</x:v>
      </x:c>
      <x:c r="Q99" s="11" t="str">
        <x:v>https://www.temu.com/bgt_order_receipt.html?parent_order_sn=PO-211-17446899210870601</x:v>
      </x:c>
    </x:row>
    <x:row r="100" ht="48" customHeight="1">
      <x:c r="A100" s="6" t="e">
        <x:f>IMAGE(P100)</x:f>
        <x:v>IMAGE is not implemented. source=https://img.kwcdn.com/product/fancy/57b58292-e270-4281-b8d3-d868c2cd3fc9.jpg?imageView2/2/w/300/q/70/format/avif, altText=undefined, sizing=undefined, height=undefined, width=undefined</x:v>
      </x:c>
      <x:c r="B100" s="7" t="n">
        <x:v>45880</x:v>
      </x:c>
      <x:c r="C100" s="6" t="str">
        <x:v>PO-211-17446899210870601</x:v>
      </x:c>
      <x:c r="D100" s="10" t="str">
        <x:v>4pcs cute astronaut bear resin keychain - Colorful space-themed pendant with "MASK" design, perfect for couples and people, ideal for backpacks, car keys and party gifts</x:v>
      </x:c>
      <x:c r="E100" s="10" t="str">
        <x:v>4pcs</x:v>
      </x:c>
      <x:c r="F100" s="8" t="n">
        <x:v>1</x:v>
      </x:c>
      <x:c r="G100" s="8" t="n">
        <x:v>6</x:v>
      </x:c>
      <x:c r="H100" s="9" t="n">
        <x:v>4.42</x:v>
      </x:c>
      <x:c r="I100" s="9" t="n">
        <x:v>3.98</x:v>
      </x:c>
      <x:c r="J100" s="9" t="n">
        <x:v>0</x:v>
      </x:c>
      <x:c r="K100" s="9" t="n">
        <x:f>IF(G100=0,0,J100/G100)</x:f>
        <x:v>0</x:v>
      </x:c>
      <x:c r="L100" s="9" t="n">
        <x:f>I100+K100</x:f>
        <x:v>3.98</x:v>
      </x:c>
      <x:c r="M100" s="9" t="n">
        <x:f>L100*F100</x:f>
        <x:v>3.98</x:v>
      </x:c>
      <x:c r="N100" s="9" t="n">
        <x:v>2.25</x:v>
      </x:c>
      <x:c r="O100" s="9" t="n">
        <x:v>33.33</x:v>
      </x:c>
      <x:c r="P100" s="11" t="str">
        <x:v>https://img.kwcdn.com/product/fancy/57b58292-e270-4281-b8d3-d868c2cd3fc9.jpg?imageView2/2/w/300/q/70/format/avif</x:v>
      </x:c>
      <x:c r="Q100" s="11" t="str">
        <x:v>https://www.temu.com/bgt_order_receipt.html?parent_order_sn=PO-211-17446899210870601</x:v>
      </x:c>
    </x:row>
    <x:row r="101" ht="48" customHeight="1">
      <x:c r="A101" s="6" t="e">
        <x:f>IMAGE(P101)</x:f>
        <x:v>IMAGE is not implemented. source=https://img.kwcdn.com/product/fancy/ca53a6c0-e190-4b6b-bde6-0712f66c70c8.jpg?imageView2/2/w/300/q/70/format/avif, altText=undefined, sizing=undefined, height=undefined, width=undefined</x:v>
      </x:c>
      <x:c r="B101" s="7" t="n">
        <x:v>45854</x:v>
      </x:c>
      <x:c r="C101" s="6" t="str">
        <x:v>PO-211-13495553362550601</x:v>
      </x:c>
      <x:c r="D101" s="10" t="str">
        <x:v>100 Cute Mini Gecko Decorations Made by 3D Printing, Random Gradient Colors - Suitable for Festivals, Christmas, Easter, Valentine'S Day And New Year Gift Ornaments, Desktop And Home Decoration, Ornaments, Perfect Holiday Gifts</x:v>
      </x:c>
      <x:c r="E101" s="10" t="str">
        <x:v>100pcs - Random Color</x:v>
      </x:c>
      <x:c r="F101" s="8" t="n">
        <x:v>2</x:v>
      </x:c>
      <x:c r="G101" s="8" t="n">
        <x:v>2</x:v>
      </x:c>
      <x:c r="H101" s="9" t="n">
        <x:v>15.68</x:v>
      </x:c>
      <x:c r="I101" s="9" t="n">
        <x:v>15.68</x:v>
      </x:c>
      <x:c r="J101" s="9" t="n">
        <x:v>0</x:v>
      </x:c>
      <x:c r="K101" s="9" t="n">
        <x:f>IF(G101=0,0,J101/G101)</x:f>
        <x:v>0</x:v>
      </x:c>
      <x:c r="L101" s="9" t="n">
        <x:f>I101+K101</x:f>
        <x:v>15.68</x:v>
      </x:c>
      <x:c r="M101" s="9" t="n">
        <x:f>L101*F101</x:f>
        <x:v>31.36</x:v>
      </x:c>
      <x:c r="N101" s="9" t="n">
        <x:v>2.27</x:v>
      </x:c>
      <x:c r="O101" s="9" t="n">
        <x:v>33.63</x:v>
      </x:c>
      <x:c r="P101" s="11" t="str">
        <x:v>https://img.kwcdn.com/product/fancy/ca53a6c0-e190-4b6b-bde6-0712f66c70c8.jpg?imageView2/2/w/300/q/70/format/avif</x:v>
      </x:c>
      <x:c r="Q101" s="11" t="str">
        <x:v>https://www.temu.com/bgt_order_receipt.html?parent_order_sn=PO-211-13495553362550601</x:v>
      </x:c>
    </x:row>
    <x:row r="102" ht="48" customHeight="1">
      <x:c r="A102" s="6" t="e">
        <x:f>IMAGE(P102)</x:f>
        <x:v>IMAGE is not implemented. source=https://img.kwcdn.com/product/fancy/24c2b65c-f591-415d-ab61-91d0a7b79eec.jpg?imageView2/2/w/300/q/70/format/avif, altText=undefined, sizing=undefined, height=undefined, width=undefined</x:v>
      </x:c>
      <x:c r="B102" s="7" t="n">
        <x:v>45837</x:v>
      </x:c>
      <x:c r="C102" s="6" t="str">
        <x:v>PO-211-12808235141750601</x:v>
      </x:c>
      <x:c r="D102" s="10" t="str">
        <x:v>2D Flat, 20pcs 3D Printed Small Geckos, Length 3.54inch, PLA Material, Vibrant Colors, Perfect for Holiday Decorations like Christmas, Easter, Valentine's Day, and Ornaments, 2D Flat</x:v>
      </x:c>
      <x:c r="E102" s="10" t="str">
        <x:v>Random Color / 20 Pieces</x:v>
      </x:c>
      <x:c r="F102" s="8" t="n">
        <x:v>2</x:v>
      </x:c>
      <x:c r="G102" s="8" t="n">
        <x:v>2</x:v>
      </x:c>
      <x:c r="H102" s="9" t="n">
        <x:v>3.62</x:v>
      </x:c>
      <x:c r="I102" s="9" t="n">
        <x:v>3.62</x:v>
      </x:c>
      <x:c r="J102" s="9" t="n">
        <x:v>2.99</x:v>
      </x:c>
      <x:c r="K102" s="9" t="n">
        <x:f>IF(G102=0,0,J102/G102)</x:f>
        <x:v>1.495</x:v>
      </x:c>
      <x:c r="L102" s="9" t="n">
        <x:f>I102+K102</x:f>
        <x:v>5.115</x:v>
      </x:c>
      <x:c r="M102" s="9" t="n">
        <x:f>L102*F102</x:f>
        <x:v>10.23</x:v>
      </x:c>
      <x:c r="N102" s="9" t="n">
        <x:v>0.52</x:v>
      </x:c>
      <x:c r="O102" s="9" t="n">
        <x:v>10.75</x:v>
      </x:c>
      <x:c r="P102" s="11" t="str">
        <x:v>https://img.kwcdn.com/product/fancy/24c2b65c-f591-415d-ab61-91d0a7b79eec.jpg?imageView2/2/w/300/q/70/format/avif</x:v>
      </x:c>
      <x:c r="Q102" s="11" t="str">
        <x:v>https://www.temu.com/bgt_order_receipt.html?parent_order_sn=PO-211-12808235141750601</x:v>
      </x:c>
    </x:row>
    <x:row r="103" ht="48" customHeight="1">
      <x:c r="A103" s="6" t="e">
        <x:f>IMAGE(P103)</x:f>
        <x:v>IMAGE is not implemented. source=https://img.kwcdn.com/product/fancy/dfb197c0-dc8b-4289-8e9e-9a9ea68149ba.jpg?imageView2/2/w/300/q/70/format/avif, altText=undefined, sizing=undefined, height=undefined, width=undefined</x:v>
      </x:c>
      <x:c r="B103" s="7" t="n">
        <x:v>45837</x:v>
      </x:c>
      <x:c r="C103" s="6" t="str">
        <x:v>PO-211-12808311163510601</x:v>
      </x:c>
      <x:c r="D103" s="10" t="str">
        <x:v>50pcs of Random Flip Sequin Keychains in Various Styles And Colors, Dinosaurs, Hearts, Unicorns, Butterflies, Dolphins, Starfishes, Fish Tails And Other Animal Shapes And Plant Shapes Suitable for Back-To- Gifts, Holiday Party Gifts, Bags And Pendants</x:v>
      </x:c>
      <x:c r="E103" s="10" t="str">
        <x:v>50pcs/set</x:v>
      </x:c>
      <x:c r="F103" s="8" t="n">
        <x:v>1</x:v>
      </x:c>
      <x:c r="G103" s="8" t="n">
        <x:v>1</x:v>
      </x:c>
      <x:c r="H103" s="9" t="n">
        <x:v>10.62</x:v>
      </x:c>
      <x:c r="I103" s="9" t="n">
        <x:v>10.62</x:v>
      </x:c>
      <x:c r="J103" s="9" t="n">
        <x:v>2.99</x:v>
      </x:c>
      <x:c r="K103" s="9" t="n">
        <x:f>IF(G103=0,0,J103/G103)</x:f>
        <x:v>2.99</x:v>
      </x:c>
      <x:c r="L103" s="9" t="n">
        <x:f>I103+K103</x:f>
        <x:v>13.61</x:v>
      </x:c>
      <x:c r="M103" s="9" t="n">
        <x:f>L103*F103</x:f>
        <x:v>13.61</x:v>
      </x:c>
      <x:c r="N103" s="9" t="n">
        <x:v>0.77</x:v>
      </x:c>
      <x:c r="O103" s="9" t="n">
        <x:v>14.38</x:v>
      </x:c>
      <x:c r="P103" s="11" t="str">
        <x:v>https://img.kwcdn.com/product/fancy/dfb197c0-dc8b-4289-8e9e-9a9ea68149ba.jpg?imageView2/2/w/300/q/70/format/avif</x:v>
      </x:c>
      <x:c r="Q103" s="11" t="str">
        <x:v>https://www.temu.com/bgt_order_receipt.html?parent_order_sn=PO-211-12808311163510601</x:v>
      </x:c>
    </x:row>
    <x:row r="104" ht="48" customHeight="1">
      <x:c r="A104" s="6" t="e">
        <x:f>IMAGE(P104)</x:f>
        <x:v>IMAGE is not implemented. source=https://img.kwcdn.com/product/fancy/bb60b130-a063-4bfe-b743-7f49ff771d3d.jpg?imageView2/2/w/300/q/70/format/avif, altText=undefined, sizing=undefined, height=undefined, width=undefined</x:v>
      </x:c>
      <x:c r="B104" s="7" t="n">
        <x:v>45837</x:v>
      </x:c>
      <x:c r="C104" s="6" t="str">
        <x:v>PO-211-12808319027830601</x:v>
      </x:c>
      <x:c r="D104" s="10" t="str">
        <x:v>50 Pcs Alloy Responsive Ball Colorful Responsive Yoyo Bulk Metal Beginner String Trick Ball Adults Players Auto Return Technology Ball For Student Boys Girls And Adult Training Party Gift Favor</x:v>
      </x:c>
      <x:c r="E104" s="10" t="str">
        <x:v>50</x:v>
      </x:c>
      <x:c r="F104" s="8" t="n">
        <x:v>1</x:v>
      </x:c>
      <x:c r="G104" s="8" t="n">
        <x:v>1</x:v>
      </x:c>
      <x:c r="H104" s="9" t="n">
        <x:v>30.67</x:v>
      </x:c>
      <x:c r="I104" s="9" t="n">
        <x:v>30.67</x:v>
      </x:c>
      <x:c r="J104" s="9" t="n">
        <x:v>0</x:v>
      </x:c>
      <x:c r="K104" s="9" t="n">
        <x:f>IF(G104=0,0,J104/G104)</x:f>
        <x:v>0</x:v>
      </x:c>
      <x:c r="L104" s="9" t="n">
        <x:f>I104+K104</x:f>
        <x:v>30.67</x:v>
      </x:c>
      <x:c r="M104" s="9" t="n">
        <x:f>L104*F104</x:f>
        <x:v>30.67</x:v>
      </x:c>
      <x:c r="N104" s="9" t="n">
        <x:v>2.22</x:v>
      </x:c>
      <x:c r="O104" s="9" t="n">
        <x:v>32.89</x:v>
      </x:c>
      <x:c r="P104" s="11" t="str">
        <x:v>https://img.kwcdn.com/product/fancy/bb60b130-a063-4bfe-b743-7f49ff771d3d.jpg?imageView2/2/w/300/q/70/format/avif</x:v>
      </x:c>
      <x:c r="Q104" s="11" t="str">
        <x:v>https://www.temu.com/bgt_order_receipt.html?parent_order_sn=PO-211-12808319027830601</x:v>
      </x:c>
    </x:row>
    <x:row r="105" ht="48" customHeight="1">
      <x:c r="A105" s="6" t="e">
        <x:f>IMAGE(P105)</x:f>
        <x:v>IMAGE is not implemented. source=https://img.kwcdn.com/product/fancy/9fd66e3a-d444-4b35-8132-157c922461a5.jpg?imageView2/2/w/300/q/70/format/avif, altText=undefined, sizing=undefined, height=undefined, width=undefined</x:v>
      </x:c>
      <x:c r="B105" s="7" t="n">
        <x:v>45837</x:v>
      </x:c>
      <x:c r="C105" s="6" t="str">
        <x:v>PO-211-12808353106550601</x:v>
      </x:c>
      <x:c r="D105" s="10" t="str">
        <x:v>100pcs Macaron Relax Squishy Noodles - Soft Rubber Sensory Fidget Toys for Parties, Office &amp; School Prizes - Random Colors, No Batteries Needed, Party Favors, Elastic Texture, Playful Design, Durable Play Items</x:v>
      </x:c>
      <x:c r="E105" s="10" t="str">
        <x:v>100pcs</x:v>
      </x:c>
      <x:c r="F105" s="8" t="n">
        <x:v>3</x:v>
      </x:c>
      <x:c r="G105" s="8" t="n">
        <x:v>3</x:v>
      </x:c>
      <x:c r="H105" s="9" t="n">
        <x:v>10.31</x:v>
      </x:c>
      <x:c r="I105" s="9" t="n">
        <x:v>10.31</x:v>
      </x:c>
      <x:c r="J105" s="9" t="n">
        <x:v>0</x:v>
      </x:c>
      <x:c r="K105" s="9" t="n">
        <x:f>IF(G105=0,0,J105/G105)</x:f>
        <x:v>0</x:v>
      </x:c>
      <x:c r="L105" s="9" t="n">
        <x:f>I105+K105</x:f>
        <x:v>10.31</x:v>
      </x:c>
      <x:c r="M105" s="9" t="n">
        <x:f>L105*F105</x:f>
        <x:v>30.93</x:v>
      </x:c>
      <x:c r="N105" s="9" t="n">
        <x:v>2.24</x:v>
      </x:c>
      <x:c r="O105" s="9" t="n">
        <x:v>33.17</x:v>
      </x:c>
      <x:c r="P105" s="11" t="str">
        <x:v>https://img.kwcdn.com/product/fancy/9fd66e3a-d444-4b35-8132-157c922461a5.jpg?imageView2/2/w/300/q/70/format/avif</x:v>
      </x:c>
      <x:c r="Q105" s="11" t="str">
        <x:v>https://www.temu.com/bgt_order_receipt.html?parent_order_sn=PO-211-12808353106550601</x:v>
      </x:c>
    </x:row>
    <x:row r="106" ht="48" customHeight="1">
      <x:c r="A106" s="6" t="e">
        <x:f>IMAGE(P106)</x:f>
        <x:v>IMAGE is not implemented. source=https://img.kwcdn.com/product/fancy/e30dbd57-02a4-491e-902d-d3c45a81f2ec.jpg?imageView2/2/w/300/q/70/format/avif, altText=undefined, sizing=undefined, height=undefined, width=undefined</x:v>
      </x:c>
      <x:c r="B106" s="7" t="n">
        <x:v>45837</x:v>
      </x:c>
      <x:c r="C106" s="6" t="str">
        <x:v>PO-211-12808395049590601</x:v>
      </x:c>
      <x:c r="D106" s="10" t="str">
        <x:v>24pcs Star Stress Ball Keychains Smile Face Mini Foam Balls For Valentine Exchange Gifts Adults Carnival Student Rewards Party Bag Fillers (Yellow)</x:v>
      </x:c>
      <x:c r="E106" s="10" t="str">
        <x:v>24 Pieces</x:v>
      </x:c>
      <x:c r="F106" s="8" t="n">
        <x:v>1</x:v>
      </x:c>
      <x:c r="G106" s="8" t="n">
        <x:v>2</x:v>
      </x:c>
      <x:c r="H106" s="9" t="n">
        <x:v>11.09</x:v>
      </x:c>
      <x:c r="I106" s="9" t="n">
        <x:v>11.09</x:v>
      </x:c>
      <x:c r="J106" s="9" t="n">
        <x:v>0</x:v>
      </x:c>
      <x:c r="K106" s="9" t="n">
        <x:f>IF(G106=0,0,J106/G106)</x:f>
        <x:v>0</x:v>
      </x:c>
      <x:c r="L106" s="9" t="n">
        <x:f>I106+K106</x:f>
        <x:v>11.09</x:v>
      </x:c>
      <x:c r="M106" s="9" t="n">
        <x:f>L106*F106</x:f>
        <x:v>11.09</x:v>
      </x:c>
      <x:c r="N106" s="9" t="n">
        <x:v>2.81</x:v>
      </x:c>
      <x:c r="O106" s="9" t="n">
        <x:v>41.66</x:v>
      </x:c>
      <x:c r="P106" s="11" t="str">
        <x:v>https://img.kwcdn.com/product/fancy/e30dbd57-02a4-491e-902d-d3c45a81f2ec.jpg?imageView2/2/w/300/q/70/format/avif</x:v>
      </x:c>
      <x:c r="Q106" s="11" t="str">
        <x:v>https://www.temu.com/bgt_order_receipt.html?parent_order_sn=PO-211-12808395049590601</x:v>
      </x:c>
    </x:row>
    <x:row r="107" ht="48" customHeight="1">
      <x:c r="A107" s="6" t="e">
        <x:f>IMAGE(P107)</x:f>
        <x:v>IMAGE is not implemented. source=https://img.kwcdn.com/product/fancy/a15a04e5-a880-459f-b052-5a81f4a02089.jpg?imageView2/2/w/300/q/70/format/avif, altText=undefined, sizing=undefined, height=undefined, width=undefined</x:v>
      </x:c>
      <x:c r="B107" s="7" t="n">
        <x:v>45837</x:v>
      </x:c>
      <x:c r="C107" s="6" t="str">
        <x:v>PO-211-12808395049590601</x:v>
      </x:c>
      <x:c r="D107" s="10" t="str">
        <x:v>200pcs Party Favors 7.9 Inch Friendship Fidget Zipper Bracelets 15 Neon Colors Bracelet Fidgets Friendship Bracelets For Classroom Rewards Birthday Goodie Bags</x:v>
      </x:c>
      <x:c r="E107" s="10" t="str">
        <x:v>200 Pieces</x:v>
      </x:c>
      <x:c r="F107" s="8" t="n">
        <x:v>1</x:v>
      </x:c>
      <x:c r="G107" s="8" t="n">
        <x:v>2</x:v>
      </x:c>
      <x:c r="H107" s="9" t="n">
        <x:v>27.76</x:v>
      </x:c>
      <x:c r="I107" s="9" t="n">
        <x:v>27.76</x:v>
      </x:c>
      <x:c r="J107" s="9" t="n">
        <x:v>0</x:v>
      </x:c>
      <x:c r="K107" s="9" t="n">
        <x:f>IF(G107=0,0,J107/G107)</x:f>
        <x:v>0</x:v>
      </x:c>
      <x:c r="L107" s="9" t="n">
        <x:f>I107+K107</x:f>
        <x:v>27.76</x:v>
      </x:c>
      <x:c r="M107" s="9" t="n">
        <x:f>L107*F107</x:f>
        <x:v>27.76</x:v>
      </x:c>
      <x:c r="N107" s="9" t="n">
        <x:v>2.81</x:v>
      </x:c>
      <x:c r="O107" s="9" t="n">
        <x:v>41.66</x:v>
      </x:c>
      <x:c r="P107" s="11" t="str">
        <x:v>https://img.kwcdn.com/product/fancy/a15a04e5-a880-459f-b052-5a81f4a02089.jpg?imageView2/2/w/300/q/70/format/avif</x:v>
      </x:c>
      <x:c r="Q107" s="11" t="str">
        <x:v>https://www.temu.com/bgt_order_receipt.html?parent_order_sn=PO-211-12808395049590601</x:v>
      </x:c>
    </x:row>
    <x:row r="108" ht="48" customHeight="1">
      <x:c r="A108" s="6" t="e">
        <x:f>IMAGE(P108)</x:f>
        <x:v>IMAGE is not implemented. source=https://img.kwcdn.com/product/fancy/6e3ccc6e-abcb-40b1-ba12-9f0048105add.jpg?imageView2/2/w/300/q/70/format/avif, altText=undefined, sizing=undefined, height=undefined, width=undefined</x:v>
      </x:c>
      <x:c r="B108" s="7" t="n">
        <x:v>45793</x:v>
      </x:c>
      <x:c r="C108" s="6" t="str">
        <x:v>PO-211-02843945185910601</x:v>
      </x:c>
      <x:c r="D108" s="10" t="str">
        <x:v>[Vibrant Colored] 36pcs Vibrant Colored Pencils | 7 Rich Colors, HB Lead, Lightweight | No Sharpening Needed | Drawing, Doodling, Sketching, and DIY Art Projects | Perfect</x:v>
      </x:c>
      <x:c r="E108" s="10" t="str">
        <x:v>36pcs 7 Color Lead</x:v>
      </x:c>
      <x:c r="F108" s="8" t="n">
        <x:v>1</x:v>
      </x:c>
      <x:c r="G108" s="8" t="n">
        <x:v>1</x:v>
      </x:c>
      <x:c r="H108" s="9" t="n">
        <x:v>7.23</x:v>
      </x:c>
      <x:c r="I108" s="9" t="n">
        <x:v>7.23</x:v>
      </x:c>
      <x:c r="J108" s="9" t="n">
        <x:v>2.99</x:v>
      </x:c>
      <x:c r="K108" s="9" t="n">
        <x:f>IF(G108=0,0,J108/G108)</x:f>
        <x:v>2.99</x:v>
      </x:c>
      <x:c r="L108" s="9" t="n">
        <x:f>I108+K108</x:f>
        <x:v>10.22</x:v>
      </x:c>
      <x:c r="M108" s="9" t="n">
        <x:f>L108*F108</x:f>
        <x:v>10.22</x:v>
      </x:c>
      <x:c r="N108" s="9" t="n">
        <x:v>0.52</x:v>
      </x:c>
      <x:c r="O108" s="9" t="n">
        <x:v>10.74</x:v>
      </x:c>
      <x:c r="P108" s="11" t="str">
        <x:v>https://img.kwcdn.com/product/fancy/6e3ccc6e-abcb-40b1-ba12-9f0048105add.jpg?imageView2/2/w/300/q/70/format/avif</x:v>
      </x:c>
      <x:c r="Q108" s="11" t="str">
        <x:v>https://www.temu.com/bgt_order_receipt.html?parent_order_sn=PO-211-02843945185910601</x:v>
      </x:c>
    </x:row>
    <x:row r="109" ht="48" customHeight="1">
      <x:c r="A109" s="6" t="e">
        <x:f>IMAGE(P109)</x:f>
        <x:v>IMAGE is not implemented. source=https://img.kwcdn.com/product/fancy/fcb43695-d33c-498f-a645-55f9f5aec8bb.jpg?imageView2/2/w/300/q/70/format/avif, altText=undefined, sizing=undefined, height=undefined, width=undefined</x:v>
      </x:c>
      <x:c r="B109" s="7" t="n">
        <x:v>45793</x:v>
      </x:c>
      <x:c r="C109" s="6" t="str">
        <x:v>PO-211-02843952661110601</x:v>
      </x:c>
      <x:c r="D109" s="10" t="str">
        <x:v>100pcs Colorful Rubber Duckies - 2 Inch Mini Party Favors with Fun Accessories, Mixed Colors, Perfect for Graduation, Holidays, and Classroom Goodie Bags for Boys &amp; Girls, Duck Birthday Party Supplies</x:v>
      </x:c>
      <x:c r="E109" s="10" t="str">
        <x:v>100pcs Duck</x:v>
      </x:c>
      <x:c r="F109" s="8" t="n">
        <x:v>1</x:v>
      </x:c>
      <x:c r="G109" s="8" t="n">
        <x:v>1</x:v>
      </x:c>
      <x:c r="H109" s="9" t="n">
        <x:v>26.67</x:v>
      </x:c>
      <x:c r="I109" s="9" t="n">
        <x:v>26.67</x:v>
      </x:c>
      <x:c r="J109" s="9" t="n">
        <x:v>2.99</x:v>
      </x:c>
      <x:c r="K109" s="9" t="n">
        <x:f>IF(G109=0,0,J109/G109)</x:f>
        <x:v>2.99</x:v>
      </x:c>
      <x:c r="L109" s="9" t="n">
        <x:f>I109+K109</x:f>
        <x:v>29.660000000000004</x:v>
      </x:c>
      <x:c r="M109" s="9" t="n">
        <x:f>L109*F109</x:f>
        <x:v>29.660000000000004</x:v>
      </x:c>
      <x:c r="N109" s="9" t="n">
        <x:v>1.93</x:v>
      </x:c>
      <x:c r="O109" s="9" t="n">
        <x:v>31.59</x:v>
      </x:c>
      <x:c r="P109" s="11" t="str">
        <x:v>https://img.kwcdn.com/product/fancy/fcb43695-d33c-498f-a645-55f9f5aec8bb.jpg?imageView2/2/w/300/q/70/format/avif</x:v>
      </x:c>
      <x:c r="Q109" s="11" t="str">
        <x:v>https://www.temu.com/bgt_order_receipt.html?parent_order_sn=PO-211-02843952661110601</x:v>
      </x:c>
    </x:row>
    <x:row r="110" ht="48" customHeight="1">
      <x:c r="A110" s="6" t="e">
        <x:f>IMAGE(P110)</x:f>
        <x:v>IMAGE is not implemented. source=https://img.kwcdn.com/product/fancy/06a1d0ef-801e-4f70-9c8b-7735557261d0.jpg?imageView2/2/w/300/q/70/format/avif, altText=undefined, sizing=undefined, height=undefined, width=undefined</x:v>
      </x:c>
      <x:c r="B110" s="7" t="n">
        <x:v>45793</x:v>
      </x:c>
      <x:c r="C110" s="6" t="str">
        <x:v>PO-211-02843966157430601</x:v>
      </x:c>
      <x:c r="D110" s="10" t="str">
        <x:v>50pcs Mini Banana Stress Toys Foam Bananas Party Favor Relax Fidget Toy Ball with Storage Bag for Adults Anxiety Relief Carnival Reward Party Supplies Multi-item Party Favor Pack</x:v>
      </x:c>
      <x:c r="E110" s="10" t="str">
        <x:v>50pcs</x:v>
      </x:c>
      <x:c r="F110" s="8" t="n">
        <x:v>1</x:v>
      </x:c>
      <x:c r="G110" s="8" t="n">
        <x:v>1</x:v>
      </x:c>
      <x:c r="H110" s="9" t="n">
        <x:v>17.38</x:v>
      </x:c>
      <x:c r="I110" s="9" t="n">
        <x:v>17.38</x:v>
      </x:c>
      <x:c r="J110" s="9" t="n">
        <x:v>2.99</x:v>
      </x:c>
      <x:c r="K110" s="9" t="n">
        <x:f>IF(G110=0,0,J110/G110)</x:f>
        <x:v>2.99</x:v>
      </x:c>
      <x:c r="L110" s="9" t="n">
        <x:f>I110+K110</x:f>
        <x:v>20.369999999999997</x:v>
      </x:c>
      <x:c r="M110" s="9" t="n">
        <x:f>L110*F110</x:f>
        <x:v>20.369999999999997</x:v>
      </x:c>
      <x:c r="N110" s="9" t="n">
        <x:v>1.26</x:v>
      </x:c>
      <x:c r="O110" s="9" t="n">
        <x:v>21.63</x:v>
      </x:c>
      <x:c r="P110" s="11" t="str">
        <x:v>https://img.kwcdn.com/product/fancy/06a1d0ef-801e-4f70-9c8b-7735557261d0.jpg?imageView2/2/w/300/q/70/format/avif</x:v>
      </x:c>
      <x:c r="Q110" s="11" t="str">
        <x:v>https://www.temu.com/bgt_order_receipt.html?parent_order_sn=PO-211-02843966157430601</x:v>
      </x:c>
    </x:row>
    <x:row r="111" ht="48" customHeight="1">
      <x:c r="A111" s="6" t="e">
        <x:f>IMAGE(P111)</x:f>
        <x:v>IMAGE is not implemented. source=https://img.kwcdn.com/product/fancy/8769585a-f4d7-4ec4-8b3b-85ecf2d40ee5.jpg?imageView2/2/w/300/q/70/format/avif, altText=undefined, sizing=undefined, height=undefined, width=undefined</x:v>
      </x:c>
      <x:c r="B111" s="7" t="n">
        <x:v>45793</x:v>
      </x:c>
      <x:c r="C111" s="6" t="str">
        <x:v>PO-211-02843971553910601</x:v>
      </x:c>
      <x:c r="D111" s="10" t="str">
        <x:v>50 Blind Boxes PVC Shoe Accessories Suitable Sandals DIY Accessories Suitable Outdoor, Beach, Gift Giving, Birthday Gifts, Holiday Gifts</x:v>
      </x:c>
      <x:c r="E111" s="10" t="str">
        <x:v>Set Of 50</x:v>
      </x:c>
      <x:c r="F111" s="8" t="n">
        <x:v>1</x:v>
      </x:c>
      <x:c r="G111" s="8" t="n">
        <x:v>1</x:v>
      </x:c>
      <x:c r="H111" s="9" t="n">
        <x:v>0</x:v>
      </x:c>
      <x:c r="I111" s="9" t="n">
        <x:v>0</x:v>
      </x:c>
      <x:c r="J111" s="9" t="n">
        <x:v>2.99</x:v>
      </x:c>
      <x:c r="K111" s="9" t="n">
        <x:f>IF(G111=0,0,J111/G111)</x:f>
        <x:v>2.99</x:v>
      </x:c>
      <x:c r="L111" s="9" t="n">
        <x:f>I111+K111</x:f>
        <x:v>2.99</x:v>
      </x:c>
      <x:c r="M111" s="9" t="n">
        <x:f>L111*F111</x:f>
        <x:v>2.99</x:v>
      </x:c>
      <x:c r="N111" s="9" t="n">
        <x:v>0</x:v>
      </x:c>
      <x:c r="O111" s="9" t="n">
        <x:v>2.99</x:v>
      </x:c>
      <x:c r="P111" s="11" t="str">
        <x:v>https://img.kwcdn.com/product/fancy/8769585a-f4d7-4ec4-8b3b-85ecf2d40ee5.jpg?imageView2/2/w/300/q/70/format/avif</x:v>
      </x:c>
      <x:c r="Q111" s="11" t="str">
        <x:v>https://www.temu.com/bgt_order_receipt.html?parent_order_sn=PO-211-02843971553910601</x:v>
      </x:c>
    </x:row>
    <x:row r="112" ht="48" customHeight="1">
      <x:c r="A112" s="6" t="e">
        <x:f>IMAGE(P112)</x:f>
        <x:v>IMAGE is not implemented. source=https://img.kwcdn.com/product/open/01ffd0713a244a87ae5e086df3239eff-goods.jpeg?imageView2/2/w/300/q/70/format/avif, altText=undefined, sizing=undefined, height=undefined, width=undefined</x:v>
      </x:c>
      <x:c r="B112" s="7" t="n">
        <x:v>45793</x:v>
      </x:c>
      <x:c r="C112" s="6" t="str">
        <x:v>PO-211-02843987128950601</x:v>
      </x:c>
      <x:c r="D112" s="10" t="str">
        <x:v>SYNCFUN 72pcs Animal Erasers for Kids - Cute 3D Puzzle Desk Pets, Non-Toxic Assorted Animal-Shaped Erasers Bulk for Classroom Rewards, Back to School Supplies, Party Favors &amp; Treasure Box Toys (Ages 3-8), Desk Decorations | Colorful Stationery | Nontoxic Erasers, Desk Accessories Cute</x:v>
      </x:c>
      <x:c r="E112" s="10" t="str">
        <x:v>Eraser Party Favor / 72</x:v>
      </x:c>
      <x:c r="F112" s="8" t="n">
        <x:v>1</x:v>
      </x:c>
      <x:c r="G112" s="8" t="n">
        <x:v>1</x:v>
      </x:c>
      <x:c r="H112" s="9" t="n">
        <x:v>9.47</x:v>
      </x:c>
      <x:c r="I112" s="9" t="n">
        <x:v>9.47</x:v>
      </x:c>
      <x:c r="J112" s="9" t="n">
        <x:v>2.99</x:v>
      </x:c>
      <x:c r="K112" s="9" t="n">
        <x:f>IF(G112=0,0,J112/G112)</x:f>
        <x:v>2.99</x:v>
      </x:c>
      <x:c r="L112" s="9" t="n">
        <x:f>I112+K112</x:f>
        <x:v>12.46</x:v>
      </x:c>
      <x:c r="M112" s="9" t="n">
        <x:f>L112*F112</x:f>
        <x:v>12.46</x:v>
      </x:c>
      <x:c r="N112" s="9" t="n">
        <x:v>0.69</x:v>
      </x:c>
      <x:c r="O112" s="9" t="n">
        <x:v>13.15</x:v>
      </x:c>
      <x:c r="P112" s="11" t="str">
        <x:v>https://img.kwcdn.com/product/open/01ffd0713a244a87ae5e086df3239eff-goods.jpeg?imageView2/2/w/300/q/70/format/avif</x:v>
      </x:c>
      <x:c r="Q112" s="11" t="str">
        <x:v>https://www.temu.com/bgt_order_receipt.html?parent_order_sn=PO-211-02843987128950601</x:v>
      </x:c>
    </x:row>
    <x:row r="113" ht="48" customHeight="1">
      <x:c r="A113" s="6" t="e">
        <x:f>IMAGE(P113)</x:f>
        <x:v>IMAGE is not implemented. source=https://img.kwcdn.com/product/fancy/6a63aa8a-e248-4ae5-8cbf-9ef32dd9e2cb.jpg?imageView2/2/w/300/q/70/format/avif, altText=undefined, sizing=undefined, height=undefined, width=undefined</x:v>
      </x:c>
      <x:c r="B113" s="7" t="n">
        <x:v>45793</x:v>
      </x:c>
      <x:c r="C113" s="6" t="str">
        <x:v>PO-211-02844029071990601</x:v>
      </x:c>
      <x:c r="D113" s="10" t="str">
        <x:v>100pcs Smile Face Stress Balls Bulk 2 Inch Funny Face Stress Relief Balls Mini Foam Smile Face Toys For End Of Year Gifts, Office Finger Exercise, Party Bag Fillers</x:v>
      </x:c>
      <x:c r="E113" s="10" t="str">
        <x:v>100pcs</x:v>
      </x:c>
      <x:c r="F113" s="8" t="n">
        <x:v>1</x:v>
      </x:c>
      <x:c r="G113" s="8" t="n">
        <x:v>1</x:v>
      </x:c>
      <x:c r="H113" s="9" t="n">
        <x:v>38.33</x:v>
      </x:c>
      <x:c r="I113" s="9" t="n">
        <x:v>38.33</x:v>
      </x:c>
      <x:c r="J113" s="9" t="n">
        <x:v>0</x:v>
      </x:c>
      <x:c r="K113" s="9" t="n">
        <x:f>IF(G113=0,0,J113/G113)</x:f>
        <x:v>0</x:v>
      </x:c>
      <x:c r="L113" s="9" t="n">
        <x:f>I113+K113</x:f>
        <x:v>38.33</x:v>
      </x:c>
      <x:c r="M113" s="9" t="n">
        <x:f>L113*F113</x:f>
        <x:v>38.33</x:v>
      </x:c>
      <x:c r="N113" s="9" t="n">
        <x:v>2.78</x:v>
      </x:c>
      <x:c r="O113" s="9" t="n">
        <x:v>41.11</x:v>
      </x:c>
      <x:c r="P113" s="11" t="str">
        <x:v>https://img.kwcdn.com/product/fancy/6a63aa8a-e248-4ae5-8cbf-9ef32dd9e2cb.jpg?imageView2/2/w/300/q/70/format/avif</x:v>
      </x:c>
      <x:c r="Q113" s="11" t="str">
        <x:v>https://www.temu.com/bgt_order_receipt.html?parent_order_sn=PO-211-02844029071990601</x:v>
      </x:c>
    </x:row>
    <x:row r="114" ht="48" customHeight="1">
      <x:c r="A114" s="6" t="e">
        <x:f>IMAGE(P114)</x:f>
        <x:v>IMAGE is not implemented. source=https://img.kwcdn.com/product/fancy/0ff8ed57-6e96-4396-bebf-0a908780e747.jpg?imageView2/2/w/300/q/70/format/avif, altText=undefined, sizing=undefined, height=undefined, width=undefined</x:v>
      </x:c>
      <x:c r="B114" s="7" t="n">
        <x:v>45793</x:v>
      </x:c>
      <x:c r="C114" s="6" t="str">
        <x:v>PO-211-02844036547190601</x:v>
      </x:c>
      <x:c r="D114" s="10" t="str">
        <x:v>Soft Sensory 108pcs Mini Stress Balls - 2.4'' Fidget Toys for Relax, Hand &amp; Wrist Exercise, Party Favors, Classroom Activities, Assorted Colors &amp; Designs (Soccer, Basketball, Baseball, Tennis, Football)</x:v>
      </x:c>
      <x:c r="E114" s="10" t="str">
        <x:v>108pcs</x:v>
      </x:c>
      <x:c r="F114" s="8" t="n">
        <x:v>1</x:v>
      </x:c>
      <x:c r="G114" s="8" t="n">
        <x:v>1</x:v>
      </x:c>
      <x:c r="H114" s="9" t="n">
        <x:v>34.74</x:v>
      </x:c>
      <x:c r="I114" s="9" t="n">
        <x:v>34.74</x:v>
      </x:c>
      <x:c r="J114" s="9" t="n">
        <x:v>0</x:v>
      </x:c>
      <x:c r="K114" s="9" t="n">
        <x:f>IF(G114=0,0,J114/G114)</x:f>
        <x:v>0</x:v>
      </x:c>
      <x:c r="L114" s="9" t="n">
        <x:f>I114+K114</x:f>
        <x:v>34.74</x:v>
      </x:c>
      <x:c r="M114" s="9" t="n">
        <x:f>L114*F114</x:f>
        <x:v>34.74</x:v>
      </x:c>
      <x:c r="N114" s="9" t="n">
        <x:v>2.52</x:v>
      </x:c>
      <x:c r="O114" s="9" t="n">
        <x:v>37.26</x:v>
      </x:c>
      <x:c r="P114" s="11" t="str">
        <x:v>https://img.kwcdn.com/product/fancy/0ff8ed57-6e96-4396-bebf-0a908780e747.jpg?imageView2/2/w/300/q/70/format/avif</x:v>
      </x:c>
      <x:c r="Q114" s="11" t="str">
        <x:v>https://www.temu.com/bgt_order_receipt.html?parent_order_sn=PO-211-02844036547190601</x:v>
      </x:c>
    </x:row>
    <x:row r="115" ht="48" customHeight="1">
      <x:c r="A115" s="6" t="e">
        <x:f>IMAGE(P115)</x:f>
        <x:v>IMAGE is not implemented. source=https://img.kwcdn.com/product/fancy/bf117b6d-05d7-41bd-8a2c-863c63652bf6.jpg?imageView2/2/w/300/q/70/format/avif, altText=undefined, sizing=undefined, height=undefined, width=undefined</x:v>
      </x:c>
      <x:c r="B115" s="7" t="n">
        <x:v>45793</x:v>
      </x:c>
      <x:c r="C115" s="6" t="str">
        <x:v>PO-211-02844050043510601</x:v>
      </x:c>
      <x:c r="D115" s="10" t="str">
        <x:v>24pcs LCD Writing Tablet Mini Electronic Doodle Board 4.5 Inch Drawing Tablet Erasable Doodle Pad Reusable For Kids Birthday Favor (black, White, Red, Blue)</x:v>
      </x:c>
      <x:c r="E115" s="10" t="str">
        <x:v>(black, white, red, blue)</x:v>
      </x:c>
      <x:c r="F115" s="8" t="n">
        <x:v>1</x:v>
      </x:c>
      <x:c r="G115" s="8" t="n">
        <x:v>1</x:v>
      </x:c>
      <x:c r="H115" s="9" t="n">
        <x:v>21.21</x:v>
      </x:c>
      <x:c r="I115" s="9" t="n">
        <x:v>21.21</x:v>
      </x:c>
      <x:c r="J115" s="9" t="n">
        <x:v>2.99</x:v>
      </x:c>
      <x:c r="K115" s="9" t="n">
        <x:f>IF(G115=0,0,J115/G115)</x:f>
        <x:v>2.99</x:v>
      </x:c>
      <x:c r="L115" s="9" t="n">
        <x:f>I115+K115</x:f>
        <x:v>24.200000000000003</x:v>
      </x:c>
      <x:c r="M115" s="9" t="n">
        <x:f>L115*F115</x:f>
        <x:v>24.200000000000003</x:v>
      </x:c>
      <x:c r="N115" s="9" t="n">
        <x:v>1.54</x:v>
      </x:c>
      <x:c r="O115" s="9" t="n">
        <x:v>25.74</x:v>
      </x:c>
      <x:c r="P115" s="11" t="str">
        <x:v>https://img.kwcdn.com/product/fancy/bf117b6d-05d7-41bd-8a2c-863c63652bf6.jpg?imageView2/2/w/300/q/70/format/avif</x:v>
      </x:c>
      <x:c r="Q115" s="11" t="str">
        <x:v>https://www.temu.com/bgt_order_receipt.html?parent_order_sn=PO-211-02844050043510601</x:v>
      </x:c>
    </x:row>
    <x:row r="116" ht="48" customHeight="1">
      <x:c r="A116" s="6" t="e">
        <x:f>IMAGE(P116)</x:f>
        <x:v>IMAGE is not implemented. source=https://img.kwcdn.com/product/open/de44f488dfa14e6db00308bcc8ad804c-goods.jpeg?imageView2/2/w/300/q/70/format/avif, altText=undefined, sizing=undefined, height=undefined, width=undefined</x:v>
      </x:c>
      <x:c r="B116" s="7" t="n">
        <x:v>45771</x:v>
      </x:c>
      <x:c r="C116" s="6" t="str">
        <x:v>PO-211-21183440369270601</x:v>
      </x:c>
      <x:c r="D116" s="10" t="str">
        <x:v>Portable Wireless Mini Karaoke Machine - Adult Singing Speaker with 2 Wireless Microphones, RGB Lighting, TF Card/ USB Support, Gift Box Packaging in Purple/ Black - Compatible with All Smartphones</x:v>
      </x:c>
      <x:c r="E116" s="10" t="str">
        <x:v>Pink/ Dual Mic</x:v>
      </x:c>
      <x:c r="F116" s="8" t="n">
        <x:v>6</x:v>
      </x:c>
      <x:c r="G116" s="8" t="n">
        <x:v>6</x:v>
      </x:c>
      <x:c r="H116" s="9" t="n">
        <x:v>5.65</x:v>
      </x:c>
      <x:c r="I116" s="9" t="n">
        <x:v>5.65</x:v>
      </x:c>
      <x:c r="J116" s="9" t="n">
        <x:v>0</x:v>
      </x:c>
      <x:c r="K116" s="9" t="n">
        <x:f>IF(G116=0,0,J116/G116)</x:f>
        <x:v>0</x:v>
      </x:c>
      <x:c r="L116" s="9" t="n">
        <x:f>I116+K116</x:f>
        <x:v>5.65</x:v>
      </x:c>
      <x:c r="M116" s="9" t="n">
        <x:f>L116*F116</x:f>
        <x:v>33.900000000000006</x:v>
      </x:c>
      <x:c r="N116" s="9" t="n">
        <x:v>2.46</x:v>
      </x:c>
      <x:c r="O116" s="9" t="n">
        <x:v>36.36</x:v>
      </x:c>
      <x:c r="P116" s="11" t="str">
        <x:v>https://img.kwcdn.com/product/open/de44f488dfa14e6db00308bcc8ad804c-goods.jpeg?imageView2/2/w/300/q/70/format/avif</x:v>
      </x:c>
      <x:c r="Q116" s="11" t="str">
        <x:v>https://www.temu.com/bgt_order_receipt.html?parent_order_sn=PO-211-21183440369270601</x:v>
      </x:c>
    </x:row>
    <x:row r="117" ht="48" customHeight="1">
      <x:c r="A117" s="6" t="e">
        <x:f>IMAGE(P117)</x:f>
        <x:v>IMAGE is not implemented. source=https://img.kwcdn.com/product/fancy/6227bd4b-7fc7-42a4-b060-26e0cbe8cd4e.jpg?imageView2/2/w/300/q/70/format/avif, altText=undefined, sizing=undefined, height=undefined, width=undefined</x:v>
      </x:c>
      <x:c r="B117" s="7" t="n">
        <x:v>45771</x:v>
      </x:c>
      <x:c r="C117" s="6" t="str">
        <x:v>PO-211-21183545226870601</x:v>
      </x:c>
      <x:c r="D117" s="10" t="str">
        <x:v>MEZHOBBY Toy Cars Party Favors, 70pcs Pull Back Cars Bulk, Mini Race Cars For Kids, Birthday Gift, Goodies Bag, Classroom Prizes, School Rewards, Party Bag Fillers</x:v>
      </x:c>
      <x:c r="E117" s="10" t="str">
        <x:v>70pcs</x:v>
      </x:c>
      <x:c r="F117" s="8" t="n">
        <x:v>2</x:v>
      </x:c>
      <x:c r="G117" s="8" t="n">
        <x:v>2</x:v>
      </x:c>
      <x:c r="H117" s="9" t="n">
        <x:v>15.44</x:v>
      </x:c>
      <x:c r="I117" s="9" t="n">
        <x:v>15.44</x:v>
      </x:c>
      <x:c r="J117" s="9" t="n">
        <x:v>0</x:v>
      </x:c>
      <x:c r="K117" s="9" t="n">
        <x:f>IF(G117=0,0,J117/G117)</x:f>
        <x:v>0</x:v>
      </x:c>
      <x:c r="L117" s="9" t="n">
        <x:f>I117+K117</x:f>
        <x:v>15.44</x:v>
      </x:c>
      <x:c r="M117" s="9" t="n">
        <x:f>L117*F117</x:f>
        <x:v>30.88</x:v>
      </x:c>
      <x:c r="N117" s="9" t="n">
        <x:v>2.24</x:v>
      </x:c>
      <x:c r="O117" s="9" t="n">
        <x:v>33.12</x:v>
      </x:c>
      <x:c r="P117" s="11" t="str">
        <x:v>https://img.kwcdn.com/product/fancy/6227bd4b-7fc7-42a4-b060-26e0cbe8cd4e.jpg?imageView2/2/w/300/q/70/format/avif</x:v>
      </x:c>
      <x:c r="Q117" s="11" t="str">
        <x:v>https://www.temu.com/bgt_order_receipt.html?parent_order_sn=PO-211-21183545226870601</x:v>
      </x:c>
    </x:row>
    <x:row r="118" ht="48" customHeight="1">
      <x:c r="A118" s="6" t="e">
        <x:f>IMAGE(P118)</x:f>
        <x:v>IMAGE is not implemented. source=https://img.kwcdn.com/product/fancy/505d30ab-29b3-4321-a40b-21562a346c33.jpg?imageView2/2/w/300/q/70/format/avif, altText=undefined, sizing=undefined, height=undefined, width=undefined</x:v>
      </x:c>
      <x:c r="B118" s="7" t="n">
        <x:v>45766</x:v>
      </x:c>
      <x:c r="C118" s="6" t="str">
        <x:v>PO-211-06065131402790601</x:v>
      </x:c>
      <x:c r="D118" s="10" t="str">
        <x:v>Smart Digital Multimeter Auto-Ranging Voltmeter Electrical Tester Measures Voltage Current Capacitance Resistance Continuity Duty-Cycle Temperature Frequency</x:v>
      </x:c>
      <x:c r="E118" s="10" t="str">
        <x:v>After credit applied: $21.16</x:v>
      </x:c>
      <x:c r="F118" s="8" t="n">
        <x:v>1</x:v>
      </x:c>
      <x:c r="G118" s="8" t="n">
        <x:v>4</x:v>
      </x:c>
      <x:c r="H118" s="9" t="n">
        <x:v>22.52</x:v>
      </x:c>
      <x:c r="I118" s="9" t="n">
        <x:v>22.52</x:v>
      </x:c>
      <x:c r="J118" s="9" t="n">
        <x:v>0</x:v>
      </x:c>
      <x:c r="K118" s="9" t="n">
        <x:f>IF(G118=0,0,J118/G118)</x:f>
        <x:v>0</x:v>
      </x:c>
      <x:c r="L118" s="9" t="n">
        <x:f>I118+K118</x:f>
        <x:v>22.52</x:v>
      </x:c>
      <x:c r="M118" s="9" t="n">
        <x:f>L118*F118</x:f>
        <x:v>22.52</x:v>
      </x:c>
      <x:c r="N118" s="9" t="n">
        <x:v>3.2</x:v>
      </x:c>
      <x:c r="O118" s="9" t="n">
        <x:v>47.33</x:v>
      </x:c>
      <x:c r="P118" s="11" t="str">
        <x:v>https://img.kwcdn.com/product/fancy/505d30ab-29b3-4321-a40b-21562a346c33.jpg?imageView2/2/w/300/q/70/format/avif</x:v>
      </x:c>
      <x:c r="Q118" s="11" t="str">
        <x:v>https://www.temu.com/bgt_order_receipt.html?parent_order_sn=PO-211-06065131402790601</x:v>
      </x:c>
    </x:row>
    <x:row r="119" ht="48" customHeight="1">
      <x:c r="A119" s="6" t="e">
        <x:f>IMAGE(P119)</x:f>
        <x:v>IMAGE is not implemented. source=https://img.kwcdn.com/product/fancy/60389166-7607-4685-a527-0428e32eb848.jpg?imageView2/2/w/300/q/70/format/avif, altText=undefined, sizing=undefined, height=undefined, width=undefined</x:v>
      </x:c>
      <x:c r="B119" s="7" t="n">
        <x:v>45766</x:v>
      </x:c>
      <x:c r="C119" s="6" t="str">
        <x:v>PO-211-06065131402790601</x:v>
      </x:c>
      <x:c r="D119" s="10" t="str">
        <x:v>15/25 Pack T-Shape Wire Connectors, 2 Pin 2 Way Solderless Terminal Blocks, 10A 300V, Copper Crimp Connectors for 22-18 AWG Cable/Solid Wire, Ideal for Low Voltage, LED Strip, Automotive Use</x:v>
      </x:c>
      <x:c r="E119" s="10" t="str">
        <x:v>After credit applied: $7.81</x:v>
      </x:c>
      <x:c r="F119" s="8" t="n">
        <x:v>1</x:v>
      </x:c>
      <x:c r="G119" s="8" t="n">
        <x:v>4</x:v>
      </x:c>
      <x:c r="H119" s="9" t="n">
        <x:v>8.32</x:v>
      </x:c>
      <x:c r="I119" s="9" t="n">
        <x:v>8.32</x:v>
      </x:c>
      <x:c r="J119" s="9" t="n">
        <x:v>0</x:v>
      </x:c>
      <x:c r="K119" s="9" t="n">
        <x:f>IF(G119=0,0,J119/G119)</x:f>
        <x:v>0</x:v>
      </x:c>
      <x:c r="L119" s="9" t="n">
        <x:f>I119+K119</x:f>
        <x:v>8.32</x:v>
      </x:c>
      <x:c r="M119" s="9" t="n">
        <x:f>L119*F119</x:f>
        <x:v>8.32</x:v>
      </x:c>
      <x:c r="N119" s="9" t="n">
        <x:v>3.2</x:v>
      </x:c>
      <x:c r="O119" s="9" t="n">
        <x:v>47.33</x:v>
      </x:c>
      <x:c r="P119" s="11" t="str">
        <x:v>https://img.kwcdn.com/product/fancy/60389166-7607-4685-a527-0428e32eb848.jpg?imageView2/2/w/300/q/70/format/avif</x:v>
      </x:c>
      <x:c r="Q119" s="11" t="str">
        <x:v>https://www.temu.com/bgt_order_receipt.html?parent_order_sn=PO-211-06065131402790601</x:v>
      </x:c>
    </x:row>
    <x:row r="120" ht="48" customHeight="1">
      <x:c r="A120" s="6" t="e">
        <x:f>IMAGE(P120)</x:f>
        <x:v>IMAGE is not implemented. source=https://img.kwcdn.com/product/1d18fce47e0/21f9e41a-d8e3-4231-b0c1-a4ba9bd0c9db_1000x1000.jpeg?imageView2/2/w/300/q/70/format/avif, altText=undefined, sizing=undefined, height=undefined, width=undefined</x:v>
      </x:c>
      <x:c r="B120" s="7" t="n">
        <x:v>45766</x:v>
      </x:c>
      <x:c r="C120" s="6" t="str">
        <x:v>PO-211-06065131402790601</x:v>
      </x:c>
      <x:c r="D120" s="10" t="str">
        <x:v>10pcs Alligator Clip Electrical Test Lead Double End Alligator Clip Jumper Circuit Connection Electrical Test Line 5 Colors</x:v>
      </x:c>
      <x:c r="E120" s="10" t="str">
        <x:v>After credit applied: $2.7</x:v>
      </x:c>
      <x:c r="F120" s="8" t="n">
        <x:v>1</x:v>
      </x:c>
      <x:c r="G120" s="8" t="n">
        <x:v>4</x:v>
      </x:c>
      <x:c r="H120" s="9" t="n">
        <x:v>2.87</x:v>
      </x:c>
      <x:c r="I120" s="9" t="n">
        <x:v>2.87</x:v>
      </x:c>
      <x:c r="J120" s="9" t="n">
        <x:v>0</x:v>
      </x:c>
      <x:c r="K120" s="9" t="n">
        <x:f>IF(G120=0,0,J120/G120)</x:f>
        <x:v>0</x:v>
      </x:c>
      <x:c r="L120" s="9" t="n">
        <x:f>I120+K120</x:f>
        <x:v>2.87</x:v>
      </x:c>
      <x:c r="M120" s="9" t="n">
        <x:f>L120*F120</x:f>
        <x:v>2.87</x:v>
      </x:c>
      <x:c r="N120" s="9" t="n">
        <x:v>3.2</x:v>
      </x:c>
      <x:c r="O120" s="9" t="n">
        <x:v>47.33</x:v>
      </x:c>
      <x:c r="P120" s="11" t="str">
        <x:v>https://img.kwcdn.com/product/1d18fce47e0/21f9e41a-d8e3-4231-b0c1-a4ba9bd0c9db_1000x1000.jpeg?imageView2/2/w/300/q/70/format/avif</x:v>
      </x:c>
      <x:c r="Q120" s="11" t="str">
        <x:v>https://www.temu.com/bgt_order_receipt.html?parent_order_sn=PO-211-06065131402790601</x:v>
      </x:c>
    </x:row>
    <x:row r="121" ht="48" customHeight="1">
      <x:c r="A121" s="6" t="e">
        <x:f>IMAGE(P121)</x:f>
        <x:v>IMAGE is not implemented. source=https://img.kwcdn.com/product/fancy/6637baf9-2b02-41d0-b8b7-2b0bc717a364.jpg?imageView2/2/w/300/q/70/format/avif, altText=undefined, sizing=undefined, height=undefined, width=undefined</x:v>
      </x:c>
      <x:c r="B121" s="7" t="n">
        <x:v>45766</x:v>
      </x:c>
      <x:c r="C121" s="6" t="str">
        <x:v>PO-211-06065131402790601</x:v>
      </x:c>
      <x:c r="D121" s="10" t="str">
        <x:v>20pcs 5 Colors 4mm Banana Plug to Crocodile Clip &amp; 15pcs Probe Test Leads with Insulation Pliers for Multimeter Electrical Testing Other Five Colors</x:v>
      </x:c>
      <x:c r="E121" s="10" t="str">
        <x:v>After credit applied: $9.79</x:v>
      </x:c>
      <x:c r="F121" s="8" t="n">
        <x:v>1</x:v>
      </x:c>
      <x:c r="G121" s="8" t="n">
        <x:v>4</x:v>
      </x:c>
      <x:c r="H121" s="9" t="n">
        <x:v>10.42</x:v>
      </x:c>
      <x:c r="I121" s="9" t="n">
        <x:v>10.42</x:v>
      </x:c>
      <x:c r="J121" s="9" t="n">
        <x:v>0</x:v>
      </x:c>
      <x:c r="K121" s="9" t="n">
        <x:f>IF(G121=0,0,J121/G121)</x:f>
        <x:v>0</x:v>
      </x:c>
      <x:c r="L121" s="9" t="n">
        <x:f>I121+K121</x:f>
        <x:v>10.42</x:v>
      </x:c>
      <x:c r="M121" s="9" t="n">
        <x:f>L121*F121</x:f>
        <x:v>10.42</x:v>
      </x:c>
      <x:c r="N121" s="9" t="n">
        <x:v>3.2</x:v>
      </x:c>
      <x:c r="O121" s="9" t="n">
        <x:v>47.33</x:v>
      </x:c>
      <x:c r="P121" s="11" t="str">
        <x:v>https://img.kwcdn.com/product/fancy/6637baf9-2b02-41d0-b8b7-2b0bc717a364.jpg?imageView2/2/w/300/q/70/format/avif</x:v>
      </x:c>
      <x:c r="Q121" s="11" t="str">
        <x:v>https://www.temu.com/bgt_order_receipt.html?parent_order_sn=PO-211-06065131402790601</x:v>
      </x:c>
    </x:row>
    <x:row r="122" ht="48" customHeight="1">
      <x:c r="A122" s="6" t="e">
        <x:f>IMAGE(P122)</x:f>
        <x:v>IMAGE is not implemented. source=https://img.kwcdn.com/product/fancy/4ff19b23-60e5-4245-b2c6-7aae37e1651a.jpg?imageView2/2/w/300/q/70/format/avif, altText=undefined, sizing=undefined, height=undefined, width=undefined</x:v>
      </x:c>
      <x:c r="B122" s="7" t="n">
        <x:v>45766</x:v>
      </x:c>
      <x:c r="C122" s="6" t="str">
        <x:v>PO-211-06065215288870601</x:v>
      </x:c>
      <x:c r="D122" s="10" t="str">
        <x:v>8.5" Multifunctional Stainless Steel Wire Cutter and Stripper | Industrial-Grade Pliers for Cutting, Stripping, Crimping &amp; Twisting | Ergonomic Design with Precision Blades &amp; Rotary Knob | Durable White Handle | Ideal for Electrical Work, Wire Stripping Tool</x:v>
      </x:c>
      <x:c r="E122" s="10" t="str">
        <x:v>After credit applied: $2.49</x:v>
      </x:c>
      <x:c r="F122" s="8" t="n">
        <x:v>1</x:v>
      </x:c>
      <x:c r="G122" s="8" t="n">
        <x:v>1</x:v>
      </x:c>
      <x:c r="H122" s="9" t="n">
        <x:v>2.66</x:v>
      </x:c>
      <x:c r="I122" s="9" t="n">
        <x:v>2.66</x:v>
      </x:c>
      <x:c r="J122" s="9" t="n">
        <x:v>2.99</x:v>
      </x:c>
      <x:c r="K122" s="9" t="n">
        <x:f>IF(G122=0,0,J122/G122)</x:f>
        <x:v>2.99</x:v>
      </x:c>
      <x:c r="L122" s="9" t="n">
        <x:f>I122+K122</x:f>
        <x:v>5.65</x:v>
      </x:c>
      <x:c r="M122" s="9" t="n">
        <x:f>L122*F122</x:f>
        <x:v>5.65</x:v>
      </x:c>
      <x:c r="N122" s="9" t="n">
        <x:v>0.19</x:v>
      </x:c>
      <x:c r="O122" s="9" t="n">
        <x:v>0.84</x:v>
      </x:c>
      <x:c r="P122" s="11" t="str">
        <x:v>https://img.kwcdn.com/product/fancy/4ff19b23-60e5-4245-b2c6-7aae37e1651a.jpg?imageView2/2/w/300/q/70/format/avif</x:v>
      </x:c>
      <x:c r="Q122" s="11" t="str">
        <x:v>https://www.temu.com/bgt_order_receipt.html?parent_order_sn=PO-211-06065215288870601</x:v>
      </x:c>
    </x:row>
    <x:row r="123" ht="48" customHeight="1">
      <x:c r="A123" s="6" t="e">
        <x:f>IMAGE(P123)</x:f>
        <x:v>IMAGE is not implemented. source=https://img.kwcdn.com/product/fancy/f02ab5a1-d275-4067-a2bc-d3e66e19e3b8.jpg?imageView2/2/w/300/q/70/format/avif, altText=undefined, sizing=undefined, height=undefined, width=undefined</x:v>
      </x:c>
      <x:c r="B123" s="7" t="n">
        <x:v>45766</x:v>
      </x:c>
      <x:c r="C123" s="6" t="str">
        <x:v>PO-211-06065299052070601</x:v>
      </x:c>
      <x:c r="D123" s="10" t="str">
        <x:v>7Inch Wire Cutters Heavy Duty CRV Steel, Diagonal Pliers For Cutting Wires Craft, Comfort Grip Handle, Teflon Coating</x:v>
      </x:c>
      <x:c r="E123" s="10" t="str">
        <x:v>After credit applied: $6.74</x:v>
      </x:c>
      <x:c r="F123" s="8" t="n">
        <x:v>5</x:v>
      </x:c>
      <x:c r="G123" s="8" t="n">
        <x:v>5</x:v>
      </x:c>
      <x:c r="H123" s="9" t="n">
        <x:v>7.17</x:v>
      </x:c>
      <x:c r="I123" s="9" t="n">
        <x:v>7.17</x:v>
      </x:c>
      <x:c r="J123" s="9" t="n">
        <x:v>0</x:v>
      </x:c>
      <x:c r="K123" s="9" t="n">
        <x:f>IF(G123=0,0,J123/G123)</x:f>
        <x:v>0</x:v>
      </x:c>
      <x:c r="L123" s="9" t="n">
        <x:f>I123+K123</x:f>
        <x:v>7.17</x:v>
      </x:c>
      <x:c r="M123" s="9" t="n">
        <x:f>L123*F123</x:f>
        <x:v>35.85</x:v>
      </x:c>
      <x:c r="N123" s="9" t="n">
        <x:v>2.6</x:v>
      </x:c>
      <x:c r="O123" s="9" t="n">
        <x:v>38.45</x:v>
      </x:c>
      <x:c r="P123" s="11" t="str">
        <x:v>https://img.kwcdn.com/product/fancy/f02ab5a1-d275-4067-a2bc-d3e66e19e3b8.jpg?imageView2/2/w/300/q/70/format/avif</x:v>
      </x:c>
      <x:c r="Q123" s="11" t="str">
        <x:v>https://www.temu.com/bgt_order_receipt.html?parent_order_sn=PO-211-06065299052070601</x:v>
      </x:c>
    </x:row>
    <x:row r="124" ht="48" customHeight="1">
      <x:c r="A124" s="6" t="e">
        <x:f>IMAGE(P124)</x:f>
        <x:v>IMAGE is not implemented. source=https://img.kwcdn.com/product/fancy/5087faad-0fbe-45b9-a661-2ecef7d93cb2.jpg?imageView2/2/w/300/q/70/format/avif, altText=undefined, sizing=undefined, height=undefined, width=undefined</x:v>
      </x:c>
      <x:c r="B124" s="7" t="n">
        <x:v>45758</x:v>
      </x:c>
      <x:c r="C124" s="6" t="str">
        <x:v>PO-211-13280689393190601</x:v>
      </x:c>
      <x:c r="D124" s="10" t="str">
        <x:v>120pcs Colorful String Noodle Fidget Toys - Relax Sensory Play for Classroom Prizes, Birthday Party Favors, Goodie Bags, and Easter Gifts (Assorted Colors, Natural Rubber), Sensory Play Items | Flexible Toys | Tactile Sensory Toy, Toys</x:v>
      </x:c>
      <x:c r="E124" s="10" t="str">
        <x:v>muti-color</x:v>
      </x:c>
      <x:c r="F124" s="8" t="n">
        <x:v>2</x:v>
      </x:c>
      <x:c r="G124" s="8" t="n">
        <x:v>2</x:v>
      </x:c>
      <x:c r="H124" s="9" t="n">
        <x:v>7.91</x:v>
      </x:c>
      <x:c r="I124" s="9" t="n">
        <x:v>7.91</x:v>
      </x:c>
      <x:c r="J124" s="9" t="n">
        <x:v>2.99</x:v>
      </x:c>
      <x:c r="K124" s="9" t="n">
        <x:f>IF(G124=0,0,J124/G124)</x:f>
        <x:v>1.495</x:v>
      </x:c>
      <x:c r="L124" s="9" t="n">
        <x:f>I124+K124</x:f>
        <x:v>9.405000000000001</x:v>
      </x:c>
      <x:c r="M124" s="9" t="n">
        <x:f>L124*F124</x:f>
        <x:v>18.810000000000002</x:v>
      </x:c>
      <x:c r="N124" s="9" t="n">
        <x:v>1.15</x:v>
      </x:c>
      <x:c r="O124" s="9" t="n">
        <x:v>19.96</x:v>
      </x:c>
      <x:c r="P124" s="11" t="str">
        <x:v>https://img.kwcdn.com/product/fancy/5087faad-0fbe-45b9-a661-2ecef7d93cb2.jpg?imageView2/2/w/300/q/70/format/avif</x:v>
      </x:c>
      <x:c r="Q124" s="11" t="str">
        <x:v>https://www.temu.com/bgt_order_receipt.html?parent_order_sn=PO-211-13280689393190601</x:v>
      </x:c>
    </x:row>
    <x:row r="125" ht="48" customHeight="1">
      <x:c r="A125" s="6" t="e">
        <x:f>IMAGE(P125)</x:f>
        <x:v>IMAGE is not implemented. source=https://img.kwcdn.com/product/fancy/f8e6193c-e8d2-4524-8a44-99d9a1d44397.jpg?imageView2/2/w/300/q/70/format/avif, altText=undefined, sizing=undefined, height=undefined, width=undefined</x:v>
      </x:c>
      <x:c r="B125" s="7" t="n">
        <x:v>45758</x:v>
      </x:c>
      <x:c r="C125" s="6" t="str">
        <x:v>PO-211-13280773279270601</x:v>
      </x:c>
      <x:c r="D125" s="10" t="str">
        <x:v>Creative 4pcs Star Rabbit Astronaut Key Chain - Car Pendant Keychain for Men - Bag Hanging Ornaments</x:v>
      </x:c>
      <x:c r="E125" s="10" t="str">
        <x:v>4pcs</x:v>
      </x:c>
      <x:c r="F125" s="8" t="n">
        <x:v>2</x:v>
      </x:c>
      <x:c r="G125" s="8" t="n">
        <x:v>8</x:v>
      </x:c>
      <x:c r="H125" s="9" t="n">
        <x:v>4.14</x:v>
      </x:c>
      <x:c r="I125" s="9" t="n">
        <x:v>4.14</x:v>
      </x:c>
      <x:c r="J125" s="9" t="n">
        <x:v>0</x:v>
      </x:c>
      <x:c r="K125" s="9" t="n">
        <x:f>IF(G125=0,0,J125/G125)</x:f>
        <x:v>0</x:v>
      </x:c>
      <x:c r="L125" s="9" t="n">
        <x:f>I125+K125</x:f>
        <x:v>4.14</x:v>
      </x:c>
      <x:c r="M125" s="9" t="n">
        <x:f>L125*F125</x:f>
        <x:v>8.28</x:v>
      </x:c>
      <x:c r="N125" s="9" t="n">
        <x:v>4.98</x:v>
      </x:c>
      <x:c r="O125" s="9" t="n">
        <x:v>73.7</x:v>
      </x:c>
      <x:c r="P125" s="11" t="str">
        <x:v>https://img.kwcdn.com/product/fancy/f8e6193c-e8d2-4524-8a44-99d9a1d44397.jpg?imageView2/2/w/300/q/70/format/avif</x:v>
      </x:c>
      <x:c r="Q125" s="11" t="str">
        <x:v>https://www.temu.com/bgt_order_receipt.html?parent_order_sn=PO-211-13280773279270601</x:v>
      </x:c>
    </x:row>
    <x:row r="126" ht="48" customHeight="1">
      <x:c r="A126" s="6" t="e">
        <x:f>IMAGE(P126)</x:f>
        <x:v>IMAGE is not implemented. source=https://img.kwcdn.com/product/fancy/0c6141ee-7474-467d-a321-844e04bb9669.jpg?imageView2/2/w/300/q/70/format/avif, altText=undefined, sizing=undefined, height=undefined, width=undefined</x:v>
      </x:c>
      <x:c r="B126" s="7" t="n">
        <x:v>45758</x:v>
      </x:c>
      <x:c r="C126" s="6" t="str">
        <x:v>PO-211-13280773279270601</x:v>
      </x:c>
      <x:c r="D126" s="10" t="str">
        <x:v>24Pack Bubble Fidget Party Favors Spinners Packs, High-Quality ABS Plastic, Smooth Rotation, Lightweight, Bright-Colored Party Favors for Birthdays, Carnivals, Classroom Rewards - Assorted Colors</x:v>
      </x:c>
      <x:c r="E126" s="10" t="str">
        <x:v>24pcs</x:v>
      </x:c>
      <x:c r="F126" s="8" t="n">
        <x:v>1</x:v>
      </x:c>
      <x:c r="G126" s="8" t="n">
        <x:v>8</x:v>
      </x:c>
      <x:c r="H126" s="9" t="n">
        <x:v>15.99</x:v>
      </x:c>
      <x:c r="I126" s="9" t="n">
        <x:v>15.99</x:v>
      </x:c>
      <x:c r="J126" s="9" t="n">
        <x:v>0</x:v>
      </x:c>
      <x:c r="K126" s="9" t="n">
        <x:f>IF(G126=0,0,J126/G126)</x:f>
        <x:v>0</x:v>
      </x:c>
      <x:c r="L126" s="9" t="n">
        <x:f>I126+K126</x:f>
        <x:v>15.99</x:v>
      </x:c>
      <x:c r="M126" s="9" t="n">
        <x:f>L126*F126</x:f>
        <x:v>15.99</x:v>
      </x:c>
      <x:c r="N126" s="9" t="n">
        <x:v>4.98</x:v>
      </x:c>
      <x:c r="O126" s="9" t="n">
        <x:v>73.7</x:v>
      </x:c>
      <x:c r="P126" s="11" t="str">
        <x:v>https://img.kwcdn.com/product/fancy/0c6141ee-7474-467d-a321-844e04bb9669.jpg?imageView2/2/w/300/q/70/format/avif</x:v>
      </x:c>
      <x:c r="Q126" s="11" t="str">
        <x:v>https://www.temu.com/bgt_order_receipt.html?parent_order_sn=PO-211-13280773279270601</x:v>
      </x:c>
    </x:row>
    <x:row r="127" ht="48" customHeight="1">
      <x:c r="A127" s="6" t="e">
        <x:f>IMAGE(P127)</x:f>
        <x:v>IMAGE is not implemented. source=https://img.kwcdn.com/product/fancy/b37a3925-86e8-4eeb-890e-ccb4fc11c463.jpg?imageView2/2/w/300/q/70/format/avif, altText=undefined, sizing=undefined, height=undefined, width=undefined</x:v>
      </x:c>
      <x:c r="B127" s="7" t="n">
        <x:v>45758</x:v>
      </x:c>
      <x:c r="C127" s="6" t="str">
        <x:v>PO-211-13280773279270601</x:v>
      </x:c>
      <x:c r="D127" s="10" t="str">
        <x:v>24 PCS Space-Themed Plastic Wristbands - Astronauts, Planets, and Galaxies Decorated Handbands for Birthdays or Any Party</x:v>
      </x:c>
      <x:c r="E127" s="10" t="str">
        <x:v>24pcs</x:v>
      </x:c>
      <x:c r="F127" s="8" t="n">
        <x:v>4</x:v>
      </x:c>
      <x:c r="G127" s="8" t="n">
        <x:v>8</x:v>
      </x:c>
      <x:c r="H127" s="9" t="n">
        <x:v>5.47</x:v>
      </x:c>
      <x:c r="I127" s="9" t="n">
        <x:v>5.47</x:v>
      </x:c>
      <x:c r="J127" s="9" t="n">
        <x:v>0</x:v>
      </x:c>
      <x:c r="K127" s="9" t="n">
        <x:f>IF(G127=0,0,J127/G127)</x:f>
        <x:v>0</x:v>
      </x:c>
      <x:c r="L127" s="9" t="n">
        <x:f>I127+K127</x:f>
        <x:v>5.47</x:v>
      </x:c>
      <x:c r="M127" s="9" t="n">
        <x:f>L127*F127</x:f>
        <x:v>21.88</x:v>
      </x:c>
      <x:c r="N127" s="9" t="n">
        <x:v>4.98</x:v>
      </x:c>
      <x:c r="O127" s="9" t="n">
        <x:v>73.7</x:v>
      </x:c>
      <x:c r="P127" s="11" t="str">
        <x:v>https://img.kwcdn.com/product/fancy/b37a3925-86e8-4eeb-890e-ccb4fc11c463.jpg?imageView2/2/w/300/q/70/format/avif</x:v>
      </x:c>
      <x:c r="Q127" s="11" t="str">
        <x:v>https://www.temu.com/bgt_order_receipt.html?parent_order_sn=PO-211-13280773279270601</x:v>
      </x:c>
    </x:row>
    <x:row r="128" ht="48" customHeight="1">
      <x:c r="A128" s="6" t="e">
        <x:f>IMAGE(P128)</x:f>
        <x:v>IMAGE is not implemented. source=https://img.kwcdn.com/product/1e133b37f6b/6f2ca7a0-937d-465d-9fad-856aa29d7dee_800x800.jpeg?imageView2/2/w/300/q/70/format/avif, altText=undefined, sizing=undefined, height=undefined, width=undefined</x:v>
      </x:c>
      <x:c r="B128" s="7" t="n">
        <x:v>45758</x:v>
      </x:c>
      <x:c r="C128" s="6" t="str">
        <x:v>PO-211-13280773279270601</x:v>
      </x:c>
      <x:c r="D128" s="10" t="str">
        <x:v>100pcs Temperature-Sensitive Mood Rings - 11 Color Changing Rings with 4 Color Changing &amp; 7 Static Colors, Mood Lighting Rings for Parties, Gifts, Relax, Display Box Included, Party Favors | Vibrant Mood Rings | Colorchanging Design</x:v>
      </x:c>
      <x:c r="E128" s="10" t="str">
        <x:v>100pcs Mix Size 6-10</x:v>
      </x:c>
      <x:c r="F128" s="8" t="n">
        <x:v>1</x:v>
      </x:c>
      <x:c r="G128" s="8" t="n">
        <x:v>8</x:v>
      </x:c>
      <x:c r="H128" s="9" t="n">
        <x:v>23.33</x:v>
      </x:c>
      <x:c r="I128" s="9" t="n">
        <x:v>23.33</x:v>
      </x:c>
      <x:c r="J128" s="9" t="n">
        <x:v>0</x:v>
      </x:c>
      <x:c r="K128" s="9" t="n">
        <x:f>IF(G128=0,0,J128/G128)</x:f>
        <x:v>0</x:v>
      </x:c>
      <x:c r="L128" s="9" t="n">
        <x:f>I128+K128</x:f>
        <x:v>23.33</x:v>
      </x:c>
      <x:c r="M128" s="9" t="n">
        <x:f>L128*F128</x:f>
        <x:v>23.33</x:v>
      </x:c>
      <x:c r="N128" s="9" t="n">
        <x:v>4.98</x:v>
      </x:c>
      <x:c r="O128" s="9" t="n">
        <x:v>73.7</x:v>
      </x:c>
      <x:c r="P128" s="11" t="str">
        <x:v>https://img.kwcdn.com/product/1e133b37f6b/6f2ca7a0-937d-465d-9fad-856aa29d7dee_800x800.jpeg?imageView2/2/w/300/q/70/format/avif</x:v>
      </x:c>
      <x:c r="Q128" s="11" t="str">
        <x:v>https://www.temu.com/bgt_order_receipt.html?parent_order_sn=PO-211-13280773279270601</x:v>
      </x:c>
    </x:row>
    <x:row r="129" ht="48" customHeight="1">
      <x:c r="A129" s="6" t="e">
        <x:f>IMAGE(P129)</x:f>
        <x:v>IMAGE is not implemented. source=https://img.kwcdn.com/product/fancy/3c2d7f69-7a65-4844-8a5a-f7e445754f7d.jpg?imageView2/2/w/300/q/70/format/avif, altText=undefined, sizing=undefined, height=undefined, width=undefined</x:v>
      </x:c>
      <x:c r="B129" s="7" t="n">
        <x:v>45730</x:v>
      </x:c>
      <x:c r="C129" s="6" t="str">
        <x:v>PO-211-13967885384230601</x:v>
      </x:c>
      <x:c r="D129" s="10" t="str">
        <x:v>24 Pack Safety Glasses Bulk, 6-Color Flashing Color Legs, UV And Scratch Resistant Protective Eyewear, ANSI Z87.1 Certified Goggles For Construction Work, Hiking, Training, Cycling, Running, And Beach Activities</x:v>
      </x:c>
      <x:c r="E129" s="10" t="str">
        <x:v>24 Pack Adult Size</x:v>
      </x:c>
      <x:c r="F129" s="8" t="n">
        <x:v>1</x:v>
      </x:c>
      <x:c r="G129" s="8" t="n">
        <x:v>1</x:v>
      </x:c>
      <x:c r="H129" s="9" t="n">
        <x:v>15.24</x:v>
      </x:c>
      <x:c r="I129" s="9" t="n">
        <x:v>15.24</x:v>
      </x:c>
      <x:c r="J129" s="9" t="n">
        <x:v>2.99</x:v>
      </x:c>
      <x:c r="K129" s="9" t="n">
        <x:f>IF(G129=0,0,J129/G129)</x:f>
        <x:v>2.99</x:v>
      </x:c>
      <x:c r="L129" s="9" t="n">
        <x:f>I129+K129</x:f>
        <x:v>18.23</x:v>
      </x:c>
      <x:c r="M129" s="9" t="n">
        <x:f>L129*F129</x:f>
        <x:v>18.23</x:v>
      </x:c>
      <x:c r="N129" s="9" t="n">
        <x:v>1.1</x:v>
      </x:c>
      <x:c r="O129" s="9" t="n">
        <x:v>19.33</x:v>
      </x:c>
      <x:c r="P129" s="11" t="str">
        <x:v>https://img.kwcdn.com/product/fancy/3c2d7f69-7a65-4844-8a5a-f7e445754f7d.jpg?imageView2/2/w/300/q/70/format/avif</x:v>
      </x:c>
      <x:c r="Q129" s="11" t="str">
        <x:v>https://www.temu.com/bgt_order_receipt.html?parent_order_sn=PO-211-13967885384230601</x:v>
      </x:c>
    </x:row>
    <x:row r="130" ht="48" customHeight="1">
      <x:c r="A130" s="6" t="e">
        <x:f>IMAGE(P130)</x:f>
        <x:v>IMAGE is not implemented. source=https://img.kwcdn.com/product/fancy/6dbcf402-95d9-458c-b412-31e889151845.jpg?imageView2/2/w/300/q/70/format/avif, altText=undefined, sizing=undefined, height=undefined, width=undefined</x:v>
      </x:c>
      <x:c r="B130" s="7" t="n">
        <x:v>45730</x:v>
      </x:c>
      <x:c r="C130" s="6" t="str">
        <x:v>PO-211-13967927327270601</x:v>
      </x:c>
      <x:c r="D130" s="10" t="str">
        <x:v>32pcs Mini LCD Writing Pad Set - 4.5" Reusable Drawing &amp; Learning Toy with Eraser, Perfect for Preschoolers - Available in Black, White, Red, Blue</x:v>
      </x:c>
      <x:c r="E130" s="10" t="str">
        <x:v>32pcs</x:v>
      </x:c>
      <x:c r="F130" s="8" t="n">
        <x:v>1</x:v>
      </x:c>
      <x:c r="G130" s="8" t="n">
        <x:v>1</x:v>
      </x:c>
      <x:c r="H130" s="9" t="n">
        <x:v>30.84</x:v>
      </x:c>
      <x:c r="I130" s="9" t="n">
        <x:v>30.84</x:v>
      </x:c>
      <x:c r="J130" s="9" t="n">
        <x:v>0</x:v>
      </x:c>
      <x:c r="K130" s="9" t="n">
        <x:f>IF(G130=0,0,J130/G130)</x:f>
        <x:v>0</x:v>
      </x:c>
      <x:c r="L130" s="9" t="n">
        <x:f>I130+K130</x:f>
        <x:v>30.84</x:v>
      </x:c>
      <x:c r="M130" s="9" t="n">
        <x:f>L130*F130</x:f>
        <x:v>30.84</x:v>
      </x:c>
      <x:c r="N130" s="9" t="n">
        <x:v>2.24</x:v>
      </x:c>
      <x:c r="O130" s="9" t="n">
        <x:v>33.08</x:v>
      </x:c>
      <x:c r="P130" s="11" t="str">
        <x:v>https://img.kwcdn.com/product/fancy/6dbcf402-95d9-458c-b412-31e889151845.jpg?imageView2/2/w/300/q/70/format/avif</x:v>
      </x:c>
      <x:c r="Q130" s="11" t="str">
        <x:v>https://www.temu.com/bgt_order_receipt.html?parent_order_sn=PO-211-13967927327270601</x:v>
      </x:c>
    </x:row>
    <x:row r="131" ht="48" customHeight="1">
      <x:c r="A131" s="6" t="e">
        <x:f>IMAGE(P131)</x:f>
        <x:v>IMAGE is not implemented. source=https://img.kwcdn.com/product/fancy/65f24483-e9c1-4a01-ae4d-8fb8e72fad0b.jpg?imageView2/2/w/300/q/70/format/avif, altText=undefined, sizing=undefined, height=undefined, width=undefined</x:v>
      </x:c>
      <x:c r="B131" s="7" t="n">
        <x:v>45730</x:v>
      </x:c>
      <x:c r="C131" s="6" t="str">
        <x:v>PO-211-13967969270310601</x:v>
      </x:c>
      <x:c r="D131" s="10" t="str">
        <x:v>72pcs Pull Back Cars Bulk, Mini Race Cars for Youngsters, Birthday Gift, Goodies Bag, Classroom Prizes, School Rewards, Party Bag Fillers Youngsters Toys Easter Basket Stuffers for Youngsters (Random)</x:v>
      </x:c>
      <x:c r="E131" s="10" t="str">
        <x:v>72pcs</x:v>
      </x:c>
      <x:c r="F131" s="8" t="n">
        <x:v>1</x:v>
      </x:c>
      <x:c r="G131" s="8" t="n">
        <x:v>1</x:v>
      </x:c>
      <x:c r="H131" s="9" t="n">
        <x:v>13.76</x:v>
      </x:c>
      <x:c r="I131" s="9" t="n">
        <x:v>13.76</x:v>
      </x:c>
      <x:c r="J131" s="9" t="n">
        <x:v>2.99</x:v>
      </x:c>
      <x:c r="K131" s="9" t="n">
        <x:f>IF(G131=0,0,J131/G131)</x:f>
        <x:v>2.99</x:v>
      </x:c>
      <x:c r="L131" s="9" t="n">
        <x:f>I131+K131</x:f>
        <x:v>16.75</x:v>
      </x:c>
      <x:c r="M131" s="9" t="n">
        <x:f>L131*F131</x:f>
        <x:v>16.75</x:v>
      </x:c>
      <x:c r="N131" s="9" t="n">
        <x:v>1</x:v>
      </x:c>
      <x:c r="O131" s="9" t="n">
        <x:v>17.75</x:v>
      </x:c>
      <x:c r="P131" s="11" t="str">
        <x:v>https://img.kwcdn.com/product/fancy/65f24483-e9c1-4a01-ae4d-8fb8e72fad0b.jpg?imageView2/2/w/300/q/70/format/avif</x:v>
      </x:c>
      <x:c r="Q131" s="11" t="str">
        <x:v>https://www.temu.com/bgt_order_receipt.html?parent_order_sn=PO-211-13967969270310601</x:v>
      </x:c>
    </x:row>
    <x:row r="132" ht="48" customHeight="1">
      <x:c r="A132" s="6" t="e">
        <x:f>IMAGE(P132)</x:f>
        <x:v>IMAGE is not implemented. source=https://img.kwcdn.com/product/fancy/e619e51c-845e-401f-925c-d1dde378d162.jpg?imageView2/2/w/300/q/70/format/avif, altText=undefined, sizing=undefined, height=undefined, width=undefined</x:v>
      </x:c>
      <x:c r="B132" s="7" t="n">
        <x:v>45730</x:v>
      </x:c>
      <x:c r="C132" s="6" t="str">
        <x:v>PO-211-13968021699110601</x:v>
      </x:c>
      <x:c r="D132" s="10" t="str">
        <x:v>A Set of 6 Cartoon 2D Keychains, New for 2025, Perfect As Valentine'S Gifts, Party Keyring Bundles, Backpack Decorations, And Car Ornaments.</x:v>
      </x:c>
      <x:c r="E132" s="10" t="str">
        <x:v>Set Of 6</x:v>
      </x:c>
      <x:c r="F132" s="8" t="n">
        <x:v>1</x:v>
      </x:c>
      <x:c r="G132" s="8" t="n">
        <x:v>3</x:v>
      </x:c>
      <x:c r="H132" s="9" t="n">
        <x:v>2.39</x:v>
      </x:c>
      <x:c r="I132" s="9" t="n">
        <x:v>2.39</x:v>
      </x:c>
      <x:c r="J132" s="9" t="n">
        <x:v>0</x:v>
      </x:c>
      <x:c r="K132" s="9" t="n">
        <x:f>IF(G132=0,0,J132/G132)</x:f>
        <x:v>0</x:v>
      </x:c>
      <x:c r="L132" s="9" t="n">
        <x:f>I132+K132</x:f>
        <x:v>2.39</x:v>
      </x:c>
      <x:c r="M132" s="9" t="n">
        <x:f>L132*F132</x:f>
        <x:v>2.39</x:v>
      </x:c>
      <x:c r="N132" s="9" t="n">
        <x:v>1.45</x:v>
      </x:c>
      <x:c r="O132" s="9" t="n">
        <x:v>21.4</x:v>
      </x:c>
      <x:c r="P132" s="11" t="str">
        <x:v>https://img.kwcdn.com/product/fancy/e619e51c-845e-401f-925c-d1dde378d162.jpg?imageView2/2/w/300/q/70/format/avif</x:v>
      </x:c>
      <x:c r="Q132" s="11" t="str">
        <x:v>https://www.temu.com/bgt_order_receipt.html?parent_order_sn=PO-211-13968021699110601</x:v>
      </x:c>
    </x:row>
    <x:row r="133" ht="48" customHeight="1">
      <x:c r="A133" s="6" t="e">
        <x:f>IMAGE(P133)</x:f>
        <x:v>IMAGE is not implemented. source=https://img.kwcdn.com/product/fancy/58a47ad8-5dac-45e9-b560-a3f28c1de223.jpg?imageView2/2/w/300/q/70/format/avif, altText=undefined, sizing=undefined, height=undefined, width=undefined</x:v>
      </x:c>
      <x:c r="B133" s="7" t="n">
        <x:v>45730</x:v>
      </x:c>
      <x:c r="C133" s="6" t="str">
        <x:v>PO-211-13968021699110601</x:v>
      </x:c>
      <x:c r="D133" s="10" t="str">
        <x:v>[24-Pack Squeaky Rubber Duck Keychain] 24-Pack Glitter Rubber Duck Keychain Set, 2.17'' Squeaky Cute Keychains With 3D Duck Design, Perfect For Carnival Party, Gift Or Decoration</x:v>
      </x:c>
      <x:c r="E133" s="10" t="str">
        <x:v>Random Color / 24</x:v>
      </x:c>
      <x:c r="F133" s="8" t="n">
        <x:v>1</x:v>
      </x:c>
      <x:c r="G133" s="8" t="n">
        <x:v>3</x:v>
      </x:c>
      <x:c r="H133" s="9" t="n">
        <x:v>12.64</x:v>
      </x:c>
      <x:c r="I133" s="9" t="n">
        <x:v>12.64</x:v>
      </x:c>
      <x:c r="J133" s="9" t="n">
        <x:v>0</x:v>
      </x:c>
      <x:c r="K133" s="9" t="n">
        <x:f>IF(G133=0,0,J133/G133)</x:f>
        <x:v>0</x:v>
      </x:c>
      <x:c r="L133" s="9" t="n">
        <x:f>I133+K133</x:f>
        <x:v>12.64</x:v>
      </x:c>
      <x:c r="M133" s="9" t="n">
        <x:f>L133*F133</x:f>
        <x:v>12.64</x:v>
      </x:c>
      <x:c r="N133" s="9" t="n">
        <x:v>1.45</x:v>
      </x:c>
      <x:c r="O133" s="9" t="n">
        <x:v>21.4</x:v>
      </x:c>
      <x:c r="P133" s="11" t="str">
        <x:v>https://img.kwcdn.com/product/fancy/58a47ad8-5dac-45e9-b560-a3f28c1de223.jpg?imageView2/2/w/300/q/70/format/avif</x:v>
      </x:c>
      <x:c r="Q133" s="11" t="str">
        <x:v>https://www.temu.com/bgt_order_receipt.html?parent_order_sn=PO-211-13968021699110601</x:v>
      </x:c>
    </x:row>
    <x:row r="134" ht="48" customHeight="1">
      <x:c r="A134" s="6" t="e">
        <x:f>IMAGE(P134)</x:f>
        <x:v>IMAGE is not implemented. source=https://img.kwcdn.com/product/fancy/dede8839-beb3-4930-a008-e4049a05084e.jpg?imageView2/2/w/300/q/70/format/avif, altText=undefined, sizing=undefined, height=undefined, width=undefined</x:v>
      </x:c>
      <x:c r="B134" s="7" t="n">
        <x:v>45730</x:v>
      </x:c>
      <x:c r="C134" s="6" t="str">
        <x:v>PO-211-13968021699110601</x:v>
      </x:c>
      <x:c r="D134" s="10" t="str">
        <x:v>30 Cute Little Duck Keychains, Cartoon Keychain Pendant, Plastic Duck Party Gift, Suitable for Carnival and General Use, Circular Keychain with Split Ring Closure, Universal Holiday Gift</x:v>
      </x:c>
      <x:c r="E134" s="10" t="str">
        <x:v>30</x:v>
      </x:c>
      <x:c r="F134" s="8" t="n">
        <x:v>1</x:v>
      </x:c>
      <x:c r="G134" s="8" t="n">
        <x:v>3</x:v>
      </x:c>
      <x:c r="H134" s="9" t="n">
        <x:v>4.92</x:v>
      </x:c>
      <x:c r="I134" s="9" t="n">
        <x:v>4.92</x:v>
      </x:c>
      <x:c r="J134" s="9" t="n">
        <x:v>0</x:v>
      </x:c>
      <x:c r="K134" s="9" t="n">
        <x:f>IF(G134=0,0,J134/G134)</x:f>
        <x:v>0</x:v>
      </x:c>
      <x:c r="L134" s="9" t="n">
        <x:f>I134+K134</x:f>
        <x:v>4.92</x:v>
      </x:c>
      <x:c r="M134" s="9" t="n">
        <x:f>L134*F134</x:f>
        <x:v>4.92</x:v>
      </x:c>
      <x:c r="N134" s="9" t="n">
        <x:v>1.45</x:v>
      </x:c>
      <x:c r="O134" s="9" t="n">
        <x:v>21.4</x:v>
      </x:c>
      <x:c r="P134" s="11" t="str">
        <x:v>https://img.kwcdn.com/product/fancy/dede8839-beb3-4930-a008-e4049a05084e.jpg?imageView2/2/w/300/q/70/format/avif</x:v>
      </x:c>
      <x:c r="Q134" s="11" t="str">
        <x:v>https://www.temu.com/bgt_order_receipt.html?parent_order_sn=PO-211-13968021699110601</x:v>
      </x:c>
    </x:row>
    <x:row r="135" ht="48" customHeight="1">
      <x:c r="A135" s="6" t="e">
        <x:f>IMAGE(P135)</x:f>
        <x:v>IMAGE is not implemented. source=https://img.kwcdn.com/product/open/de872cd736c4410fa16d9b49f25a834c-goods.jpeg?imageView2/2/w/300/q/70/format/avif, altText=undefined, sizing=undefined, height=undefined, width=undefined</x:v>
      </x:c>
      <x:c r="B135" s="7" t="n">
        <x:v>45695</x:v>
      </x:c>
      <x:c r="C135" s="6" t="str">
        <x:v>PO-211-07611332181030601</x:v>
      </x:c>
      <x:c r="D135" s="10" t="str">
        <x:v>JOYIN 36pcs Mini Animal Plush Assortment (36 Units 3" Each), Bulk Stuffed Animals Party Favors, Small Animals Plush Keychain Decoration, Carnival Prizes, Valentine's Day Party Favors, Best for Christmas, Perfect for Thanksgiving</x:v>
      </x:c>
      <x:c r="E135" s="10" t="str">
        <x:v>36</x:v>
      </x:c>
      <x:c r="F135" s="8" t="n">
        <x:v>2</x:v>
      </x:c>
      <x:c r="G135" s="8" t="n">
        <x:v>2</x:v>
      </x:c>
      <x:c r="H135" s="9" t="n">
        <x:v>16.47</x:v>
      </x:c>
      <x:c r="I135" s="9" t="n">
        <x:v>16.47</x:v>
      </x:c>
      <x:c r="J135" s="9" t="n">
        <x:v>0</x:v>
      </x:c>
      <x:c r="K135" s="9" t="n">
        <x:f>IF(G135=0,0,J135/G135)</x:f>
        <x:v>0</x:v>
      </x:c>
      <x:c r="L135" s="9" t="n">
        <x:f>I135+K135</x:f>
        <x:v>16.47</x:v>
      </x:c>
      <x:c r="M135" s="9" t="n">
        <x:f>L135*F135</x:f>
        <x:v>32.94</x:v>
      </x:c>
      <x:c r="N135" s="9" t="n">
        <x:v>2.39</x:v>
      </x:c>
      <x:c r="O135" s="9" t="n">
        <x:v>35.33</x:v>
      </x:c>
      <x:c r="P135" s="11" t="str">
        <x:v>https://img.kwcdn.com/product/open/de872cd736c4410fa16d9b49f25a834c-goods.jpeg?imageView2/2/w/300/q/70/format/avif</x:v>
      </x:c>
      <x:c r="Q135" s="11" t="str">
        <x:v>https://www.temu.com/bgt_order_receipt.html?parent_order_sn=PO-211-07611332181030601</x:v>
      </x:c>
    </x:row>
    <x:row r="136" ht="48" customHeight="1">
      <x:c r="A136" s="6" t="e">
        <x:f>IMAGE(P136)</x:f>
        <x:v>IMAGE is not implemented. source=https://img.kwcdn.com/product/open/c92a46fe354e49c8a97a875f64a786fa-goods.jpeg?imageView2/2/w/300/q/70/format/avif, altText=undefined, sizing=undefined, height=undefined, width=undefined</x:v>
      </x:c>
      <x:c r="B136" s="7" t="n">
        <x:v>45695</x:v>
      </x:c>
      <x:c r="C136" s="6" t="str">
        <x:v>PO-211-07611374124070601</x:v>
      </x:c>
      <x:c r="D136" s="10" t="str">
        <x:v>Mini Karaoke Machine, Christmas Birthday Gift, Portable Speaker with 2 Wireless Microphones, Suitable for 14+, Karaoke Advanced Songs, Best for Christmas</x:v>
      </x:c>
      <x:c r="E136" s="10" t="str">
        <x:v>White / 2 Mics</x:v>
      </x:c>
      <x:c r="F136" s="8" t="n">
        <x:v>1</x:v>
      </x:c>
      <x:c r="G136" s="8" t="n">
        <x:v>1</x:v>
      </x:c>
      <x:c r="H136" s="9" t="n">
        <x:v>5.93</x:v>
      </x:c>
      <x:c r="I136" s="9" t="n">
        <x:v>5.93</x:v>
      </x:c>
      <x:c r="J136" s="9" t="n">
        <x:v>2.99</x:v>
      </x:c>
      <x:c r="K136" s="9" t="n">
        <x:f>IF(G136=0,0,J136/G136)</x:f>
        <x:v>2.99</x:v>
      </x:c>
      <x:c r="L136" s="9" t="n">
        <x:f>I136+K136</x:f>
        <x:v>8.92</x:v>
      </x:c>
      <x:c r="M136" s="9" t="n">
        <x:f>L136*F136</x:f>
        <x:v>8.92</x:v>
      </x:c>
      <x:c r="N136" s="9" t="n">
        <x:v>0.43</x:v>
      </x:c>
      <x:c r="O136" s="9" t="n">
        <x:v>9.35</x:v>
      </x:c>
      <x:c r="P136" s="11" t="str">
        <x:v>https://img.kwcdn.com/product/open/c92a46fe354e49c8a97a875f64a786fa-goods.jpeg?imageView2/2/w/300/q/70/format/avif</x:v>
      </x:c>
      <x:c r="Q136" s="11" t="str">
        <x:v>https://www.temu.com/bgt_order_receipt.html?parent_order_sn=PO-211-07611374124070601</x:v>
      </x:c>
    </x:row>
    <x:row r="137" ht="48" customHeight="1">
      <x:c r="A137" s="6" t="e">
        <x:f>IMAGE(P137)</x:f>
        <x:v>IMAGE is not implemented. source=https://img.kwcdn.com/product/Fancyalgo/VirtualModelMatting/77cbcbe6bd04c7cb6647ca1da0ccb395.jpg?imageView2/2/w/300/q/70/format/avif, altText=undefined, sizing=undefined, height=undefined, width=undefined</x:v>
      </x:c>
      <x:c r="B137" s="7" t="n">
        <x:v>45695</x:v>
      </x:c>
      <x:c r="C137" s="6" t="str">
        <x:v>PO-211-07611416067110601</x:v>
      </x:c>
      <x:c r="D137" s="10" t="str">
        <x:v>1pc Silicone Repair Mat for Mobile Phone &amp; Computer, Corrosion-Resistant High-Temperature Heat Gun Welding Pad with Magnetic Maintenance Tools, Essential Digital Repair Workstation Accessory</x:v>
      </x:c>
      <x:c r="E137" s="10" t="str">
        <x:v>508+ Magnetizer</x:v>
      </x:c>
      <x:c r="F137" s="8" t="n">
        <x:v>1</x:v>
      </x:c>
      <x:c r="G137" s="8" t="n">
        <x:v>5</x:v>
      </x:c>
      <x:c r="H137" s="9" t="n">
        <x:v>13.82</x:v>
      </x:c>
      <x:c r="I137" s="9" t="n">
        <x:v>13.82</x:v>
      </x:c>
      <x:c r="J137" s="9" t="n">
        <x:v>0</x:v>
      </x:c>
      <x:c r="K137" s="9" t="n">
        <x:f>IF(G137=0,0,J137/G137)</x:f>
        <x:v>0</x:v>
      </x:c>
      <x:c r="L137" s="9" t="n">
        <x:f>I137+K137</x:f>
        <x:v>13.82</x:v>
      </x:c>
      <x:c r="M137" s="9" t="n">
        <x:f>L137*F137</x:f>
        <x:v>13.82</x:v>
      </x:c>
      <x:c r="N137" s="9" t="n">
        <x:v>3.32</x:v>
      </x:c>
      <x:c r="O137" s="9" t="n">
        <x:v>49.13</x:v>
      </x:c>
      <x:c r="P137" s="11" t="str">
        <x:v>https://img.kwcdn.com/product/Fancyalgo/VirtualModelMatting/77cbcbe6bd04c7cb6647ca1da0ccb395.jpg?imageView2/2/w/300/q/70/format/avif</x:v>
      </x:c>
      <x:c r="Q137" s="11" t="str">
        <x:v>https://www.temu.com/bgt_order_receipt.html?parent_order_sn=PO-211-07611416067110601</x:v>
      </x:c>
    </x:row>
    <x:row r="138" ht="48" customHeight="1">
      <x:c r="A138" s="6" t="e">
        <x:f>IMAGE(P138)</x:f>
        <x:v>IMAGE is not implemented. source=https://img.kwcdn.com/product/fancy/cb294242-50e7-497e-8f7b-df096a36c227.jpg?imageView2/2/w/300/q/70/format/avif, altText=undefined, sizing=undefined, height=undefined, width=undefined</x:v>
      </x:c>
      <x:c r="B138" s="7" t="n">
        <x:v>45695</x:v>
      </x:c>
      <x:c r="C138" s="6" t="str">
        <x:v>PO-211-07611416067110601</x:v>
      </x:c>
      <x:c r="D138" s="10" t="str">
        <x:v>24pcs Sanrio Mystery Box Dolls Fun Hole Punch Activity Set Perfect for Party Favors Home Decor The contents of the box are subject to the actual product</x:v>
      </x:c>
      <x:c r="E138" s="10" t="str">
        <x:v>24pcs</x:v>
      </x:c>
      <x:c r="F138" s="8" t="n">
        <x:v>1</x:v>
      </x:c>
      <x:c r="G138" s="8" t="n">
        <x:v>5</x:v>
      </x:c>
      <x:c r="H138" s="9" t="n">
        <x:v>10.34</x:v>
      </x:c>
      <x:c r="I138" s="9" t="n">
        <x:v>10.34</x:v>
      </x:c>
      <x:c r="J138" s="9" t="n">
        <x:v>0</x:v>
      </x:c>
      <x:c r="K138" s="9" t="n">
        <x:f>IF(G138=0,0,J138/G138)</x:f>
        <x:v>0</x:v>
      </x:c>
      <x:c r="L138" s="9" t="n">
        <x:f>I138+K138</x:f>
        <x:v>10.34</x:v>
      </x:c>
      <x:c r="M138" s="9" t="n">
        <x:f>L138*F138</x:f>
        <x:v>10.34</x:v>
      </x:c>
      <x:c r="N138" s="9" t="n">
        <x:v>3.32</x:v>
      </x:c>
      <x:c r="O138" s="9" t="n">
        <x:v>49.13</x:v>
      </x:c>
      <x:c r="P138" s="11" t="str">
        <x:v>https://img.kwcdn.com/product/fancy/cb294242-50e7-497e-8f7b-df096a36c227.jpg?imageView2/2/w/300/q/70/format/avif</x:v>
      </x:c>
      <x:c r="Q138" s="11" t="str">
        <x:v>https://www.temu.com/bgt_order_receipt.html?parent_order_sn=PO-211-07611416067110601</x:v>
      </x:c>
    </x:row>
    <x:row r="139" ht="48" customHeight="1">
      <x:c r="A139" s="6" t="e">
        <x:f>IMAGE(P139)</x:f>
        <x:v>IMAGE is not implemented. source=https://img.kwcdn.com/product/fancy/161bd0c9-1554-415c-86b7-75101240f588.jpg?imageView2/2/w/300/q/70/format/avif, altText=undefined, sizing=undefined, height=undefined, width=undefined</x:v>
      </x:c>
      <x:c r="B139" s="7" t="n">
        <x:v>45695</x:v>
      </x:c>
      <x:c r="C139" s="6" t="str">
        <x:v>PO-211-07611416067110601</x:v>
      </x:c>
      <x:c r="D139" s="10" t="str">
        <x:v>12pcs MINIONS PVC Figurines, Creative Keychain Charms, Cute Car Decor, No Electricity Needed, Ideal for Christmas, Halloween, Birthday Gifts</x:v>
      </x:c>
      <x:c r="E139" s="10" t="str">
        <x:v>Chinese Zodiac Set-12PCS</x:v>
      </x:c>
      <x:c r="F139" s="8" t="n">
        <x:v>2</x:v>
      </x:c>
      <x:c r="G139" s="8" t="n">
        <x:v>5</x:v>
      </x:c>
      <x:c r="H139" s="9" t="n">
        <x:v>8.65</x:v>
      </x:c>
      <x:c r="I139" s="9" t="n">
        <x:v>8.65</x:v>
      </x:c>
      <x:c r="J139" s="9" t="n">
        <x:v>0</x:v>
      </x:c>
      <x:c r="K139" s="9" t="n">
        <x:f>IF(G139=0,0,J139/G139)</x:f>
        <x:v>0</x:v>
      </x:c>
      <x:c r="L139" s="9" t="n">
        <x:f>I139+K139</x:f>
        <x:v>8.65</x:v>
      </x:c>
      <x:c r="M139" s="9" t="n">
        <x:f>L139*F139</x:f>
        <x:v>17.3</x:v>
      </x:c>
      <x:c r="N139" s="9" t="n">
        <x:v>3.32</x:v>
      </x:c>
      <x:c r="O139" s="9" t="n">
        <x:v>49.13</x:v>
      </x:c>
      <x:c r="P139" s="11" t="str">
        <x:v>https://img.kwcdn.com/product/fancy/161bd0c9-1554-415c-86b7-75101240f588.jpg?imageView2/2/w/300/q/70/format/avif</x:v>
      </x:c>
      <x:c r="Q139" s="11" t="str">
        <x:v>https://www.temu.com/bgt_order_receipt.html?parent_order_sn=PO-211-07611416067110601</x:v>
      </x:c>
    </x:row>
    <x:row r="140" ht="48" customHeight="1">
      <x:c r="A140" s="6" t="e">
        <x:f>IMAGE(P140)</x:f>
        <x:v>IMAGE is not implemented. source=https://img.kwcdn.com/product/Fancyalgo/VirtualModelMatting/7282798b0b815ee7d2ca64ddf23fd911.jpg?imageView2/2/w/300/q/70/format/avif, altText=undefined, sizing=undefined, height=undefined, width=undefined</x:v>
      </x:c>
      <x:c r="B140" s="7" t="n">
        <x:v>45695</x:v>
      </x:c>
      <x:c r="C140" s="6" t="str">
        <x:v>PO-211-07611416067110601</x:v>
      </x:c>
      <x:c r="D140" s="10" t="str">
        <x:v>Key Tags With Labels 50pcs Key Tags, Key Labels, Plastic Key Tag, Key Rings, 10 Colors</x:v>
      </x:c>
      <x:c r="E140" s="10" t="str">
        <x:v>50pcs</x:v>
      </x:c>
      <x:c r="F140" s="8" t="n">
        <x:v>1</x:v>
      </x:c>
      <x:c r="G140" s="8" t="n">
        <x:v>5</x:v>
      </x:c>
      <x:c r="H140" s="9" t="n">
        <x:v>4.35</x:v>
      </x:c>
      <x:c r="I140" s="9" t="n">
        <x:v>4.35</x:v>
      </x:c>
      <x:c r="J140" s="9" t="n">
        <x:v>0</x:v>
      </x:c>
      <x:c r="K140" s="9" t="n">
        <x:f>IF(G140=0,0,J140/G140)</x:f>
        <x:v>0</x:v>
      </x:c>
      <x:c r="L140" s="9" t="n">
        <x:f>I140+K140</x:f>
        <x:v>4.35</x:v>
      </x:c>
      <x:c r="M140" s="9" t="n">
        <x:f>L140*F140</x:f>
        <x:v>4.35</x:v>
      </x:c>
      <x:c r="N140" s="9" t="n">
        <x:v>3.32</x:v>
      </x:c>
      <x:c r="O140" s="9" t="n">
        <x:v>49.13</x:v>
      </x:c>
      <x:c r="P140" s="11" t="str">
        <x:v>https://img.kwcdn.com/product/Fancyalgo/VirtualModelMatting/7282798b0b815ee7d2ca64ddf23fd911.jpg?imageView2/2/w/300/q/70/format/avif</x:v>
      </x:c>
      <x:c r="Q140" s="11" t="str">
        <x:v>https://www.temu.com/bgt_order_receipt.html?parent_order_sn=PO-211-07611416067110601</x:v>
      </x:c>
    </x:row>
    <x:row r="141" ht="48" customHeight="1">
      <x:c r="A141" s="6" t="e">
        <x:f>IMAGE(P141)</x:f>
        <x:v>IMAGE is not implemented. source=https://img.kwcdn.com/product/fancy/21a0611c-1db8-49bc-8549-927106d19973.jpg?imageView2/2/w/300/q/70/format/avif, altText=undefined, sizing=undefined, height=undefined, width=undefined</x:v>
      </x:c>
      <x:c r="B141" s="7" t="n">
        <x:v>45600</x:v>
      </x:c>
      <x:c r="C141" s="6" t="str">
        <x:v>PO-211-03058659881510601</x:v>
      </x:c>
      <x:c r="D141" s="10" t="str">
        <x:v>Retro Handheld Game Console Travel Games 3 Inch HD Screen Video Game Console</x:v>
      </x:c>
      <x:c r="E141" s="10" t="str">
        <x:v>Red</x:v>
      </x:c>
      <x:c r="F141" s="8" t="n">
        <x:v>1</x:v>
      </x:c>
      <x:c r="G141" s="8" t="n">
        <x:v>1</x:v>
      </x:c>
      <x:c r="H141" s="9" t="n">
        <x:v>16.19</x:v>
      </x:c>
      <x:c r="I141" s="9" t="n">
        <x:v>16.19</x:v>
      </x:c>
      <x:c r="J141" s="9" t="n">
        <x:v>2.99</x:v>
      </x:c>
      <x:c r="K141" s="9" t="n">
        <x:f>IF(G141=0,0,J141/G141)</x:f>
        <x:v>2.99</x:v>
      </x:c>
      <x:c r="L141" s="9" t="n">
        <x:f>I141+K141</x:f>
        <x:v>19.18</x:v>
      </x:c>
      <x:c r="M141" s="9" t="n">
        <x:f>L141*F141</x:f>
        <x:v>19.18</x:v>
      </x:c>
      <x:c r="N141" s="9" t="n">
        <x:v>1.17</x:v>
      </x:c>
      <x:c r="O141" s="9" t="n">
        <x:v>20.35</x:v>
      </x:c>
      <x:c r="P141" s="11" t="str">
        <x:v>https://img.kwcdn.com/product/fancy/21a0611c-1db8-49bc-8549-927106d19973.jpg?imageView2/2/w/300/q/70/format/avif</x:v>
      </x:c>
      <x:c r="Q141" s="11" t="str">
        <x:v>https://www.temu.com/bgt_order_receipt.html?parent_order_sn=PO-211-03058659881510601</x:v>
      </x:c>
    </x:row>
    <x:row r="142" ht="48" customHeight="1">
      <x:c r="A142" s="6" t="e">
        <x:f>IMAGE(P142)</x:f>
        <x:v>IMAGE is not implemented. source=https://img.kwcdn.com/product/fancy/0a8df6d6-ead6-411e-a174-60e98428fa80.jpg?imageView2/2/w/300/q/70/format/avif, altText=undefined, sizing=undefined, height=undefined, width=undefined</x:v>
      </x:c>
      <x:c r="B142" s="7" t="n">
        <x:v>45600</x:v>
      </x:c>
      <x:c r="C142" s="6" t="str">
        <x:v>PO-211-03058743767590601</x:v>
      </x:c>
      <x:c r="D142" s="10" t="str">
        <x:v>Retro Handheld Gaming Console - Mini Portable Game Player with Classic Games, 2.8" Color Screen, TV Output &amp; Dual Player Support - Perfect for Family Fun, Halloween &amp; Christmas Gifts</x:v>
      </x:c>
      <x:c r="E142" s="10" t="str">
        <x:v>【Red】</x:v>
      </x:c>
      <x:c r="F142" s="8" t="n">
        <x:v>1</x:v>
      </x:c>
      <x:c r="G142" s="8" t="n">
        <x:v>1</x:v>
      </x:c>
      <x:c r="H142" s="9" t="n">
        <x:v>10.25</x:v>
      </x:c>
      <x:c r="I142" s="9" t="n">
        <x:v>10.25</x:v>
      </x:c>
      <x:c r="J142" s="9" t="n">
        <x:v>2.99</x:v>
      </x:c>
      <x:c r="K142" s="9" t="n">
        <x:f>IF(G142=0,0,J142/G142)</x:f>
        <x:v>2.99</x:v>
      </x:c>
      <x:c r="L142" s="9" t="n">
        <x:f>I142+K142</x:f>
        <x:v>13.24</x:v>
      </x:c>
      <x:c r="M142" s="9" t="n">
        <x:f>L142*F142</x:f>
        <x:v>13.24</x:v>
      </x:c>
      <x:c r="N142" s="9" t="n">
        <x:v>0.74</x:v>
      </x:c>
      <x:c r="O142" s="9" t="n">
        <x:v>13.98</x:v>
      </x:c>
      <x:c r="P142" s="11" t="str">
        <x:v>https://img.kwcdn.com/product/fancy/0a8df6d6-ead6-411e-a174-60e98428fa80.jpg?imageView2/2/w/300/q/70/format/avif</x:v>
      </x:c>
      <x:c r="Q142" s="11" t="str">
        <x:v>https://www.temu.com/bgt_order_receipt.html?parent_order_sn=PO-211-03058743767590601</x:v>
      </x:c>
    </x:row>
    <x:row r="143" ht="48" customHeight="1">
      <x:c r="A143" s="6" t="e">
        <x:f>IMAGE(P143)</x:f>
        <x:v>IMAGE is not implemented. source=https://img.kwcdn.com/product/open/2024-09-18/1726624968319-a90e2ac78d4d4c10bb31239703b8cc9e-goods.jpeg?imageView2/2/w/300/q/70/format/avif, altText=undefined, sizing=undefined, height=undefined, width=undefined</x:v>
      </x:c>
      <x:c r="B143" s="7" t="n">
        <x:v>45600</x:v>
      </x:c>
      <x:c r="C143" s="6" t="str">
        <x:v>PO-211-03058811925030601</x:v>
      </x:c>
      <x:c r="D143" s="10" t="str">
        <x:v>10 PCS Plastic Teddy Bear Figurines for Birthday, Wedding, Valentine's Day - Decorative Non-Feathered Mini Bears for Bouquets &amp; Gifts, No Electricity Needed, Ideal for Collectors &amp; DIY Craft, Age 14+</x:v>
      </x:c>
      <x:c r="E143" s="10" t="str">
        <x:v>Orange</x:v>
      </x:c>
      <x:c r="F143" s="8" t="n">
        <x:v>1</x:v>
      </x:c>
      <x:c r="G143" s="8" t="n">
        <x:v>3</x:v>
      </x:c>
      <x:c r="H143" s="9" t="n">
        <x:v>4.19</x:v>
      </x:c>
      <x:c r="I143" s="9" t="n">
        <x:v>4.19</x:v>
      </x:c>
      <x:c r="J143" s="9" t="n">
        <x:v>0</x:v>
      </x:c>
      <x:c r="K143" s="9" t="n">
        <x:f>IF(G143=0,0,J143/G143)</x:f>
        <x:v>0</x:v>
      </x:c>
      <x:c r="L143" s="9" t="n">
        <x:f>I143+K143</x:f>
        <x:v>4.19</x:v>
      </x:c>
      <x:c r="M143" s="9" t="n">
        <x:f>L143*F143</x:f>
        <x:v>4.19</x:v>
      </x:c>
      <x:c r="N143" s="9" t="n">
        <x:v>1.25</x:v>
      </x:c>
      <x:c r="O143" s="9" t="n">
        <x:v>18.64</x:v>
      </x:c>
      <x:c r="P143" s="11" t="str">
        <x:v>https://img.kwcdn.com/product/open/2024-09-18/1726624968319-a90e2ac78d4d4c10bb31239703b8cc9e-goods.jpeg?imageView2/2/w/300/q/70/format/avif</x:v>
      </x:c>
      <x:c r="Q143" s="11" t="str">
        <x:v>https://www.temu.com/bgt_order_receipt.html?parent_order_sn=PO-211-03058811925030601</x:v>
      </x:c>
    </x:row>
    <x:row r="144" ht="48" customHeight="1">
      <x:c r="A144" s="6" t="e">
        <x:f>IMAGE(P144)</x:f>
        <x:v>IMAGE is not implemented. source=https://img.kwcdn.com/product/open/2024-09-18/1726624969255-ffd84d071c3342e9ba816d2b65d82479-goods.jpeg?imageView2/2/w/300/q/70/format/avif, altText=undefined, sizing=undefined, height=undefined, width=undefined</x:v>
      </x:c>
      <x:c r="B144" s="7" t="n">
        <x:v>45600</x:v>
      </x:c>
      <x:c r="C144" s="6" t="str">
        <x:v>PO-211-03058811925030601</x:v>
      </x:c>
      <x:c r="D144" s="10" t="str">
        <x:v>10 PCS Plastic Teddy Bear Figurines for Birthday, Wedding, Valentine's Day - Decorative Non-Feathered Mini Bears for Bouquets &amp; Gifts, No Electricity Needed, Ideal for Collectors &amp; DIY Craft, Age 14+</x:v>
      </x:c>
      <x:c r="E144" s="10" t="str">
        <x:v>Light Purple</x:v>
      </x:c>
      <x:c r="F144" s="8" t="n">
        <x:v>1</x:v>
      </x:c>
      <x:c r="G144" s="8" t="n">
        <x:v>3</x:v>
      </x:c>
      <x:c r="H144" s="9" t="n">
        <x:v>4.19</x:v>
      </x:c>
      <x:c r="I144" s="9" t="n">
        <x:v>4.19</x:v>
      </x:c>
      <x:c r="J144" s="9" t="n">
        <x:v>0</x:v>
      </x:c>
      <x:c r="K144" s="9" t="n">
        <x:f>IF(G144=0,0,J144/G144)</x:f>
        <x:v>0</x:v>
      </x:c>
      <x:c r="L144" s="9" t="n">
        <x:f>I144+K144</x:f>
        <x:v>4.19</x:v>
      </x:c>
      <x:c r="M144" s="9" t="n">
        <x:f>L144*F144</x:f>
        <x:v>4.19</x:v>
      </x:c>
      <x:c r="N144" s="9" t="n">
        <x:v>1.25</x:v>
      </x:c>
      <x:c r="O144" s="9" t="n">
        <x:v>18.64</x:v>
      </x:c>
      <x:c r="P144" s="11" t="str">
        <x:v>https://img.kwcdn.com/product/open/2024-09-18/1726624969255-ffd84d071c3342e9ba816d2b65d82479-goods.jpeg?imageView2/2/w/300/q/70/format/avif</x:v>
      </x:c>
      <x:c r="Q144" s="11" t="str">
        <x:v>https://www.temu.com/bgt_order_receipt.html?parent_order_sn=PO-211-03058811925030601</x:v>
      </x:c>
    </x:row>
    <x:row r="145" ht="48" customHeight="1">
      <x:c r="A145" s="6" t="e">
        <x:f>IMAGE(P145)</x:f>
        <x:v>IMAGE is not implemented. source=https://img.kwcdn.com/product/fancy/866af582-a4b8-407f-8492-983dcfe5baa4.jpg?imageView2/2/w/300/q/70/format/avif, altText=undefined, sizing=undefined, height=undefined, width=undefined</x:v>
      </x:c>
      <x:c r="B145" s="7" t="n">
        <x:v>45600</x:v>
      </x:c>
      <x:c r="C145" s="6" t="str">
        <x:v>PO-211-03058811925030601</x:v>
      </x:c>
      <x:c r="D145" s="10" t="str">
        <x:v>Christmas-themed Retractable Ballpoint Pens - Teenagers and adults aged 14 and above - Plastic, Medium - Suitable for Holiday gifts, School supplies, Office decorations</x:v>
      </x:c>
      <x:c r="E145" s="10" t="str">
        <x:v>18 Random</x:v>
      </x:c>
      <x:c r="F145" s="8" t="n">
        <x:v>1</x:v>
      </x:c>
      <x:c r="G145" s="8" t="n">
        <x:v>3</x:v>
      </x:c>
      <x:c r="H145" s="9" t="n">
        <x:v>9.01</x:v>
      </x:c>
      <x:c r="I145" s="9" t="n">
        <x:v>9.01</x:v>
      </x:c>
      <x:c r="J145" s="9" t="n">
        <x:v>0</x:v>
      </x:c>
      <x:c r="K145" s="9" t="n">
        <x:f>IF(G145=0,0,J145/G145)</x:f>
        <x:v>0</x:v>
      </x:c>
      <x:c r="L145" s="9" t="n">
        <x:f>I145+K145</x:f>
        <x:v>9.01</x:v>
      </x:c>
      <x:c r="M145" s="9" t="n">
        <x:f>L145*F145</x:f>
        <x:v>9.01</x:v>
      </x:c>
      <x:c r="N145" s="9" t="n">
        <x:v>1.25</x:v>
      </x:c>
      <x:c r="O145" s="9" t="n">
        <x:v>18.64</x:v>
      </x:c>
      <x:c r="P145" s="11" t="str">
        <x:v>https://img.kwcdn.com/product/fancy/866af582-a4b8-407f-8492-983dcfe5baa4.jpg?imageView2/2/w/300/q/70/format/avif</x:v>
      </x:c>
      <x:c r="Q145" s="11" t="str">
        <x:v>https://www.temu.com/bgt_order_receipt.html?parent_order_sn=PO-211-03058811925030601</x:v>
      </x:c>
    </x:row>
    <x:row r="146" ht="48" customHeight="1">
      <x:c r="A146" s="6" t="e">
        <x:f>IMAGE(P146)</x:f>
        <x:v>IMAGE is not implemented. source=https://img.kwcdn.com/product/fancy/5cb851d6-e87c-41c9-bacb-891093254b23.jpg?imageView2/2/w/300/q/70/format/avif, altText=undefined, sizing=undefined, height=undefined, width=undefined</x:v>
      </x:c>
      <x:c r="B146" s="7" t="n">
        <x:v>45511</x:v>
      </x:c>
      <x:c r="C146" s="6" t="str">
        <x:v>PO-211-17038775183990601</x:v>
      </x:c>
      <x:c r="D146" s="10" t="str">
        <x:v>60pcs LED Colored Fiber Optic Glow Sticks - Glow In The Dark Party Supplies For Bachelor Party Supplies For Men And Women, Party Supplies Glow Gifts For Christmas, Birthdays, Concerts, Concerts, Weddings, Halloween, New Year Party Atmosphere Supplies</x:v>
      </x:c>
      <x:c r="E146" s="10" t="str">
        <x:v>60pcs/set</x:v>
      </x:c>
      <x:c r="F146" s="8" t="n">
        <x:v>1</x:v>
      </x:c>
      <x:c r="G146" s="8" t="n">
        <x:v>1</x:v>
      </x:c>
      <x:c r="H146" s="9" t="n">
        <x:v>38.24</x:v>
      </x:c>
      <x:c r="I146" s="9" t="n">
        <x:v>38.24</x:v>
      </x:c>
      <x:c r="J146" s="9" t="n">
        <x:v>0</x:v>
      </x:c>
      <x:c r="K146" s="9" t="n">
        <x:f>IF(G146=0,0,J146/G146)</x:f>
        <x:v>0</x:v>
      </x:c>
      <x:c r="L146" s="9" t="n">
        <x:f>I146+K146</x:f>
        <x:v>38.24</x:v>
      </x:c>
      <x:c r="M146" s="9" t="n">
        <x:f>L146*F146</x:f>
        <x:v>38.24</x:v>
      </x:c>
      <x:c r="N146" s="9" t="n">
        <x:v>2.77</x:v>
      </x:c>
      <x:c r="O146" s="9" t="n">
        <x:v>41.01</x:v>
      </x:c>
      <x:c r="P146" s="11" t="str">
        <x:v>https://img.kwcdn.com/product/fancy/5cb851d6-e87c-41c9-bacb-891093254b23.jpg?imageView2/2/w/300/q/70/format/avif</x:v>
      </x:c>
      <x:c r="Q146" s="11" t="str">
        <x:v>https://www.temu.com/bgt_order_receipt.html?parent_order_sn=PO-211-17038775183990601</x:v>
      </x:c>
    </x:row>
    <x:row r="147" ht="48" customHeight="1">
      <x:c r="A147" s="6" t="e">
        <x:f>IMAGE(P147)</x:f>
        <x:v>IMAGE is not implemented. source=https://img.kwcdn.com/product/fancy/4acd8078-9028-4c14-83d6-e95a363e086c.jpg?imageView2/2/w/300/q/70/format/avif, altText=undefined, sizing=undefined, height=undefined, width=undefined</x:v>
      </x:c>
      <x:c r="B147" s="7" t="n">
        <x:v>45511</x:v>
      </x:c>
      <x:c r="C147" s="6" t="str">
        <x:v>PO-211-17038844652150601</x:v>
      </x:c>
      <x:c r="D147" s="10" t="str">
        <x:v>60 Pieces Glow in the Dark Party Supplies LED Light Up Toy Party Favors Includes 20 LED Shutter Glasses, 20 Glow Headbands, 20 LED Glow Bracelets, Neon Party Favors for Glow Party, Birthday</x:v>
      </x:c>
      <x:c r="E147" s="10" t="str">
        <x:v>Universal</x:v>
      </x:c>
      <x:c r="F147" s="8" t="n">
        <x:v>1</x:v>
      </x:c>
      <x:c r="G147" s="8" t="n">
        <x:v>1</x:v>
      </x:c>
      <x:c r="H147" s="9" t="n">
        <x:v>30.56</x:v>
      </x:c>
      <x:c r="I147" s="9" t="n">
        <x:v>30.56</x:v>
      </x:c>
      <x:c r="J147" s="9" t="n">
        <x:v>0</x:v>
      </x:c>
      <x:c r="K147" s="9" t="n">
        <x:f>IF(G147=0,0,J147/G147)</x:f>
        <x:v>0</x:v>
      </x:c>
      <x:c r="L147" s="9" t="n">
        <x:f>I147+K147</x:f>
        <x:v>30.56</x:v>
      </x:c>
      <x:c r="M147" s="9" t="n">
        <x:f>L147*F147</x:f>
        <x:v>30.56</x:v>
      </x:c>
      <x:c r="N147" s="9" t="n">
        <x:v>2.22</x:v>
      </x:c>
      <x:c r="O147" s="9" t="n">
        <x:v>32.78</x:v>
      </x:c>
      <x:c r="P147" s="11" t="str">
        <x:v>https://img.kwcdn.com/product/fancy/4acd8078-9028-4c14-83d6-e95a363e086c.jpg?imageView2/2/w/300/q/70/format/avif</x:v>
      </x:c>
      <x:c r="Q147" s="11" t="str">
        <x:v>https://www.temu.com/bgt_order_receipt.html?parent_order_sn=PO-211-17038844652150601</x:v>
      </x:c>
    </x:row>
    <x:row r="148" ht="48" customHeight="1">
      <x:c r="A148" s="6" t="e">
        <x:f>IMAGE(P148)</x:f>
        <x:v>IMAGE is not implemented. source=https://img.kwcdn.com/product/Fancyalgo/VirtualModelMatting/5e5d0a8e54523ce7d6a603262aafbaf1.jpg?imageView2/2/w/300/q/70/format/avif, altText=undefined, sizing=undefined, height=undefined, width=undefined</x:v>
      </x:c>
      <x:c r="B148" s="7" t="n">
        <x:v>45511</x:v>
      </x:c>
      <x:c r="C148" s="6" t="str">
        <x:v>PO-211-17038918052470601</x:v>
      </x:c>
      <x:c r="D148" s="10" t="str">
        <x:v>Lot Of 20, 30, 50, 100pcs Random Different Shoe Charms Shoes Decoration For Female</x:v>
      </x:c>
      <x:c r="E148" s="10" t="str">
        <x:v>100pcs</x:v>
      </x:c>
      <x:c r="F148" s="8" t="n">
        <x:v>1</x:v>
      </x:c>
      <x:c r="G148" s="8" t="n">
        <x:v>4</x:v>
      </x:c>
      <x:c r="H148" s="9" t="n">
        <x:v>10.11</x:v>
      </x:c>
      <x:c r="I148" s="9" t="n">
        <x:v>10.11</x:v>
      </x:c>
      <x:c r="J148" s="9" t="n">
        <x:v>0</x:v>
      </x:c>
      <x:c r="K148" s="9" t="n">
        <x:f>IF(G148=0,0,J148/G148)</x:f>
        <x:v>0</x:v>
      </x:c>
      <x:c r="L148" s="9" t="n">
        <x:f>I148+K148</x:f>
        <x:v>10.11</x:v>
      </x:c>
      <x:c r="M148" s="9" t="n">
        <x:f>L148*F148</x:f>
        <x:v>10.11</x:v>
      </x:c>
      <x:c r="N148" s="9" t="n">
        <x:v>2.94</x:v>
      </x:c>
      <x:c r="O148" s="9" t="n">
        <x:v>43.51</x:v>
      </x:c>
      <x:c r="P148" s="11" t="str">
        <x:v>https://img.kwcdn.com/product/Fancyalgo/VirtualModelMatting/5e5d0a8e54523ce7d6a603262aafbaf1.jpg?imageView2/2/w/300/q/70/format/avif</x:v>
      </x:c>
      <x:c r="Q148" s="11" t="str">
        <x:v>https://www.temu.com/bgt_order_receipt.html?parent_order_sn=PO-211-17038918052470601</x:v>
      </x:c>
    </x:row>
    <x:row r="149" ht="48" customHeight="1">
      <x:c r="A149" s="6" t="e">
        <x:f>IMAGE(P149)</x:f>
        <x:v>IMAGE is not implemented. source=https://img.kwcdn.com/product/Fancyalgo/VirtualModelMatting/563b54c29e793d17abd6655e13335ea7.jpg?imageView2/2/w/300/q/70/format/avif, altText=undefined, sizing=undefined, height=undefined, width=undefined</x:v>
      </x:c>
      <x:c r="B149" s="7" t="n">
        <x:v>45511</x:v>
      </x:c>
      <x:c r="C149" s="6" t="str">
        <x:v>PO-211-17038918052470601</x:v>
      </x:c>
      <x:c r="D149" s="10" t="str">
        <x:v>1pc Gypsophila, Black, Mini Disco Projection Light, USB Powered, For Birthday Parties Weddings Bars KTV Disco House Parties Halloween Christmas</x:v>
      </x:c>
      <x:c r="E149" s="10" t="str">
        <x:v>Black</x:v>
      </x:c>
      <x:c r="F149" s="8" t="n">
        <x:v>2</x:v>
      </x:c>
      <x:c r="G149" s="8" t="n">
        <x:v>4</x:v>
      </x:c>
      <x:c r="H149" s="9" t="n">
        <x:v>11.49</x:v>
      </x:c>
      <x:c r="I149" s="9" t="n">
        <x:v>11.49</x:v>
      </x:c>
      <x:c r="J149" s="9" t="n">
        <x:v>0</x:v>
      </x:c>
      <x:c r="K149" s="9" t="n">
        <x:f>IF(G149=0,0,J149/G149)</x:f>
        <x:v>0</x:v>
      </x:c>
      <x:c r="L149" s="9" t="n">
        <x:f>I149+K149</x:f>
        <x:v>11.49</x:v>
      </x:c>
      <x:c r="M149" s="9" t="n">
        <x:f>L149*F149</x:f>
        <x:v>22.98</x:v>
      </x:c>
      <x:c r="N149" s="9" t="n">
        <x:v>2.94</x:v>
      </x:c>
      <x:c r="O149" s="9" t="n">
        <x:v>43.51</x:v>
      </x:c>
      <x:c r="P149" s="11" t="str">
        <x:v>https://img.kwcdn.com/product/Fancyalgo/VirtualModelMatting/563b54c29e793d17abd6655e13335ea7.jpg?imageView2/2/w/300/q/70/format/avif</x:v>
      </x:c>
      <x:c r="Q149" s="11" t="str">
        <x:v>https://www.temu.com/bgt_order_receipt.html?parent_order_sn=PO-211-17038918052470601</x:v>
      </x:c>
    </x:row>
    <x:row r="150" ht="48" customHeight="1">
      <x:c r="A150" s="6" t="e">
        <x:f>IMAGE(P150)</x:f>
        <x:v>IMAGE is not implemented. source=https://img.kwcdn.com/product/Fancyalgo/VirtualModelMatting/a9f726435f723beff6c389885bb09203.jpg?imageView2/2/w/300/q/70/format/avif, altText=undefined, sizing=undefined, height=undefined, width=undefined</x:v>
      </x:c>
      <x:c r="B150" s="7" t="n">
        <x:v>45511</x:v>
      </x:c>
      <x:c r="C150" s="6" t="str">
        <x:v>PO-211-17038918052470601</x:v>
      </x:c>
      <x:c r="D150" s="10" t="str">
        <x:v>1/2pcs Display Stand, Lollipop And Cotton Candy Display Acrylic Shelf With 15 Holes, For Party, Wedding And Festival, Transparent, 6.3*3.5*1.5inches, Kitchen Storage Supplies</x:v>
      </x:c>
      <x:c r="E150" s="10" t="str">
        <x:v>Clear / 15Holes 2 Pcs</x:v>
      </x:c>
      <x:c r="F150" s="8" t="n">
        <x:v>1</x:v>
      </x:c>
      <x:c r="G150" s="8" t="n">
        <x:v>4</x:v>
      </x:c>
      <x:c r="H150" s="9" t="n">
        <x:v>7.48</x:v>
      </x:c>
      <x:c r="I150" s="9" t="n">
        <x:v>7.48</x:v>
      </x:c>
      <x:c r="J150" s="9" t="n">
        <x:v>0</x:v>
      </x:c>
      <x:c r="K150" s="9" t="n">
        <x:f>IF(G150=0,0,J150/G150)</x:f>
        <x:v>0</x:v>
      </x:c>
      <x:c r="L150" s="9" t="n">
        <x:f>I150+K150</x:f>
        <x:v>7.48</x:v>
      </x:c>
      <x:c r="M150" s="9" t="n">
        <x:f>L150*F150</x:f>
        <x:v>7.48</x:v>
      </x:c>
      <x:c r="N150" s="9" t="n">
        <x:v>2.94</x:v>
      </x:c>
      <x:c r="O150" s="9" t="n">
        <x:v>43.51</x:v>
      </x:c>
      <x:c r="P150" s="11" t="str">
        <x:v>https://img.kwcdn.com/product/Fancyalgo/VirtualModelMatting/a9f726435f723beff6c389885bb09203.jpg?imageView2/2/w/300/q/70/format/avif</x:v>
      </x:c>
      <x:c r="Q150" s="11" t="str">
        <x:v>https://www.temu.com/bgt_order_receipt.html?parent_order_sn=PO-211-17038918052470601</x:v>
      </x:c>
    </x:row>
    <x:row r="151" ht="48" customHeight="1">
      <x:c r="A151" s="6" t="e">
        <x:f>IMAGE(P151)</x:f>
        <x:v>IMAGE is not implemented. source=https://img.kwcdn.com/product/fancy/8d32e2de-6c8e-4ae9-ac57-ccef986f2ef9.jpg?imageView2/2/w/300/q/70/format/avif, altText=undefined, sizing=undefined, height=undefined, width=undefined</x:v>
      </x:c>
      <x:c r="B151" s="7" t="n">
        <x:v>45487</x:v>
      </x:c>
      <x:c r="C151" s="6" t="str">
        <x:v>PO-211-18069573519990601</x:v>
      </x:c>
      <x:c r="D151" s="10" t="str">
        <x:v>Portable Outdoor Wireless Bass Speaker With Charging Cable And Aux Cable - Wireless Audio Subwoofer Plug-in Card U Disk 3D Surround, TWS Stereo Subwoofer Rod Hands-Free Call/FM/TF Card/U Disk, TG117</x:v>
      </x:c>
      <x:c r="E151" s="10" t="str">
        <x:v>Black</x:v>
      </x:c>
      <x:c r="F151" s="8" t="n">
        <x:v>1</x:v>
      </x:c>
      <x:c r="G151" s="8" t="n">
        <x:v>1</x:v>
      </x:c>
      <x:c r="H151" s="9" t="n">
        <x:v>9.69</x:v>
      </x:c>
      <x:c r="I151" s="9" t="n">
        <x:v>9.69</x:v>
      </x:c>
      <x:c r="J151" s="9" t="n">
        <x:v>2.99</x:v>
      </x:c>
      <x:c r="K151" s="9" t="n">
        <x:f>IF(G151=0,0,J151/G151)</x:f>
        <x:v>2.99</x:v>
      </x:c>
      <x:c r="L151" s="9" t="n">
        <x:f>I151+K151</x:f>
        <x:v>12.68</x:v>
      </x:c>
      <x:c r="M151" s="9" t="n">
        <x:f>L151*F151</x:f>
        <x:v>12.68</x:v>
      </x:c>
      <x:c r="N151" s="9" t="n">
        <x:v>0.7</x:v>
      </x:c>
      <x:c r="O151" s="9" t="n">
        <x:v>13.35</x:v>
      </x:c>
      <x:c r="P151" s="11" t="str">
        <x:v>https://img.kwcdn.com/product/fancy/8d32e2de-6c8e-4ae9-ac57-ccef986f2ef9.jpg?imageView2/2/w/300/q/70/format/avif</x:v>
      </x:c>
      <x:c r="Q151" s="11" t="str">
        <x:v>https://www.temu.com/bgt_order_receipt.html?parent_order_sn=PO-211-18069573519990601</x:v>
      </x:c>
    </x:row>
    <x:row r="152" ht="48" customHeight="1">
      <x:c r="A152" s="6" t="e">
        <x:f>IMAGE(P152)</x:f>
        <x:v>IMAGE is not implemented. source=https://img.kwcdn.com/product/fancy/0d1fe289-d657-4c71-b8a9-4485633978af.jpg?imageView2/2/w/300/q/70/format/avif, altText=undefined, sizing=undefined, height=undefined, width=undefined</x:v>
      </x:c>
      <x:c r="B152" s="7" t="n">
        <x:v>45487</x:v>
      </x:c>
      <x:c r="C152" s="6" t="str">
        <x:v>PO-211-18069625948790601</x:v>
      </x:c>
      <x:c r="D152" s="10" t="str">
        <x:v>SPOVEN Powerful Electric Compressed Air Duster for Deep Cleaning, Replace Compressed Air Can No Canned Air Duster Keyboard Cleaner PC Cleaning, Rechargeable 3 Speeds 120000RPM Cordless Air Blower Car Duster 7600mAh (Black)</x:v>
      </x:c>
      <x:c r="E152" s="10" t="str">
        <x:v>Black</x:v>
      </x:c>
      <x:c r="F152" s="8" t="n">
        <x:v>1</x:v>
      </x:c>
      <x:c r="G152" s="8" t="n">
        <x:v>1</x:v>
      </x:c>
      <x:c r="H152" s="9" t="n">
        <x:v>20.48</x:v>
      </x:c>
      <x:c r="I152" s="9" t="n">
        <x:v>20.48</x:v>
      </x:c>
      <x:c r="J152" s="9" t="n">
        <x:v>2.99</x:v>
      </x:c>
      <x:c r="K152" s="9" t="n">
        <x:f>IF(G152=0,0,J152/G152)</x:f>
        <x:v>2.99</x:v>
      </x:c>
      <x:c r="L152" s="9" t="n">
        <x:f>I152+K152</x:f>
        <x:v>23.47</x:v>
      </x:c>
      <x:c r="M152" s="9" t="n">
        <x:f>L152*F152</x:f>
        <x:v>23.47</x:v>
      </x:c>
      <x:c r="N152" s="9" t="n">
        <x:v>1.48</x:v>
      </x:c>
      <x:c r="O152" s="9" t="n">
        <x:v>24.95</x:v>
      </x:c>
      <x:c r="P152" s="11" t="str">
        <x:v>https://img.kwcdn.com/product/fancy/0d1fe289-d657-4c71-b8a9-4485633978af.jpg?imageView2/2/w/300/q/70/format/avif</x:v>
      </x:c>
      <x:c r="Q152" s="11" t="str">
        <x:v>https://www.temu.com/bgt_order_receipt.html?parent_order_sn=PO-211-18069625948790601</x:v>
      </x:c>
    </x:row>
    <x:row r="153" ht="48" customHeight="1">
      <x:c r="A153" s="6" t="e">
        <x:f>IMAGE(P153)</x:f>
        <x:v>IMAGE is not implemented. source=https://img.kwcdn.com/product/fancy/b207cfe0-052d-44c8-a0fd-d3fffb749891.jpg?imageView2/2/w/300/q/70/format/avif, altText=undefined, sizing=undefined, height=undefined, width=undefined</x:v>
      </x:c>
      <x:c r="B153" s="7" t="n">
        <x:v>45487</x:v>
      </x:c>
      <x:c r="C153" s="6" t="str">
        <x:v>PO-211-18069678377590601</x:v>
      </x:c>
      <x:c r="D153" s="10" t="str">
        <x:v>100pcs [Customized] Work Lanyard LOGO Personalized Customized Exhibition Event Lanyard Hanging Strap Mobile Phone Rope Hanging Rope</x:v>
      </x:c>
      <x:c r="E153" s="10" t="str">
        <x:v>Black / 100</x:v>
      </x:c>
      <x:c r="F153" s="8" t="n">
        <x:v>1</x:v>
      </x:c>
      <x:c r="G153" s="8" t="n">
        <x:v>46</x:v>
      </x:c>
      <x:c r="H153" s="9" t="n">
        <x:v>105.48</x:v>
      </x:c>
      <x:c r="I153" s="9" t="n">
        <x:v>105.48</x:v>
      </x:c>
      <x:c r="J153" s="9" t="n">
        <x:v>0</x:v>
      </x:c>
      <x:c r="K153" s="9" t="n">
        <x:f>IF(G153=0,0,J153/G153)</x:f>
        <x:v>0</x:v>
      </x:c>
      <x:c r="L153" s="9" t="n">
        <x:f>I153+K153</x:f>
        <x:v>105.48</x:v>
      </x:c>
      <x:c r="M153" s="9" t="n">
        <x:f>L153*F153</x:f>
        <x:v>105.48</x:v>
      </x:c>
      <x:c r="N153" s="9" t="n">
        <x:v>12.26</x:v>
      </x:c>
      <x:c r="O153" s="9" t="n">
        <x:v>181.18</x:v>
      </x:c>
      <x:c r="P153" s="11" t="str">
        <x:v>https://img.kwcdn.com/product/fancy/b207cfe0-052d-44c8-a0fd-d3fffb749891.jpg?imageView2/2/w/300/q/70/format/avif</x:v>
      </x:c>
      <x:c r="Q153" s="11" t="str">
        <x:v>https://www.temu.com/bgt_order_receipt.html?parent_order_sn=PO-211-18069678377590601</x:v>
      </x:c>
    </x:row>
    <x:row r="154" ht="48" customHeight="1">
      <x:c r="A154" s="6" t="e">
        <x:f>IMAGE(P154)</x:f>
        <x:v>IMAGE is not implemented. source=https://img.kwcdn.com/product/fancy/e1305c54-34f7-4e6e-b23b-021988941e9a.jpg?imageView2/2/w/300/q/70/format/avif, altText=undefined, sizing=undefined, height=undefined, width=undefined</x:v>
      </x:c>
      <x:c r="B154" s="7" t="n">
        <x:v>45487</x:v>
      </x:c>
      <x:c r="C154" s="6" t="str">
        <x:v>PO-211-18069678377590601</x:v>
      </x:c>
      <x:c r="D154" s="10" t="str">
        <x:v>Rainbow Unicorn 10-Color Ballpoint Pen - Surprise Color, Perfect For Journaling &amp; Doodling</x:v>
      </x:c>
      <x:c r="E154" s="10" t="str">
        <x:v>Random Color / 1pc</x:v>
      </x:c>
      <x:c r="F154" s="8" t="n">
        <x:v>10</x:v>
      </x:c>
      <x:c r="G154" s="8" t="n">
        <x:v>46</x:v>
      </x:c>
      <x:c r="H154" s="9" t="n">
        <x:v>1.79</x:v>
      </x:c>
      <x:c r="I154" s="9" t="n">
        <x:v>1.79</x:v>
      </x:c>
      <x:c r="J154" s="9" t="n">
        <x:v>0</x:v>
      </x:c>
      <x:c r="K154" s="9" t="n">
        <x:f>IF(G154=0,0,J154/G154)</x:f>
        <x:v>0</x:v>
      </x:c>
      <x:c r="L154" s="9" t="n">
        <x:f>I154+K154</x:f>
        <x:v>1.79</x:v>
      </x:c>
      <x:c r="M154" s="9" t="n">
        <x:f>L154*F154</x:f>
        <x:v>17.9</x:v>
      </x:c>
      <x:c r="N154" s="9" t="n">
        <x:v>12.26</x:v>
      </x:c>
      <x:c r="O154" s="9" t="n">
        <x:v>181.18</x:v>
      </x:c>
      <x:c r="P154" s="11" t="str">
        <x:v>https://img.kwcdn.com/product/fancy/e1305c54-34f7-4e6e-b23b-021988941e9a.jpg?imageView2/2/w/300/q/70/format/avif</x:v>
      </x:c>
      <x:c r="Q154" s="11" t="str">
        <x:v>https://www.temu.com/bgt_order_receipt.html?parent_order_sn=PO-211-18069678377590601</x:v>
      </x:c>
    </x:row>
    <x:row r="155" ht="48" customHeight="1">
      <x:c r="A155" s="6" t="e">
        <x:f>IMAGE(P155)</x:f>
        <x:v>IMAGE is not implemented. source=https://img.kwcdn.com/product/fancy/53ab18ad-26db-4285-815f-95a939efbf79.jpg?imageView2/2/w/300/q/70/format/avif, altText=undefined, sizing=undefined, height=undefined, width=undefined</x:v>
      </x:c>
      <x:c r="B155" s="7" t="n">
        <x:v>45487</x:v>
      </x:c>
      <x:c r="C155" s="6" t="str">
        <x:v>PO-211-18069678377590601</x:v>
      </x:c>
      <x:c r="D155" s="10" t="str">
        <x:v>Bear 10-color Ballpoint Pen Cartoon Press Type Multi-color Color Pen, Students' Writing Tool, Ten-color Press Ballpoint Pen</x:v>
      </x:c>
      <x:c r="E155" s="10" t="str">
        <x:v>Random Style / 1pc</x:v>
      </x:c>
      <x:c r="F155" s="8" t="n">
        <x:v>10</x:v>
      </x:c>
      <x:c r="G155" s="8" t="n">
        <x:v>46</x:v>
      </x:c>
      <x:c r="H155" s="9" t="n">
        <x:v>0.41</x:v>
      </x:c>
      <x:c r="I155" s="9" t="n">
        <x:v>0.41</x:v>
      </x:c>
      <x:c r="J155" s="9" t="n">
        <x:v>0</x:v>
      </x:c>
      <x:c r="K155" s="9" t="n">
        <x:f>IF(G155=0,0,J155/G155)</x:f>
        <x:v>0</x:v>
      </x:c>
      <x:c r="L155" s="9" t="n">
        <x:f>I155+K155</x:f>
        <x:v>0.41</x:v>
      </x:c>
      <x:c r="M155" s="9" t="n">
        <x:f>L155*F155</x:f>
        <x:v>4.1</x:v>
      </x:c>
      <x:c r="N155" s="9" t="n">
        <x:v>12.26</x:v>
      </x:c>
      <x:c r="O155" s="9" t="n">
        <x:v>181.18</x:v>
      </x:c>
      <x:c r="P155" s="11" t="str">
        <x:v>https://img.kwcdn.com/product/fancy/53ab18ad-26db-4285-815f-95a939efbf79.jpg?imageView2/2/w/300/q/70/format/avif</x:v>
      </x:c>
      <x:c r="Q155" s="11" t="str">
        <x:v>https://www.temu.com/bgt_order_receipt.html?parent_order_sn=PO-211-18069678377590601</x:v>
      </x:c>
    </x:row>
    <x:row r="156" ht="48" customHeight="1">
      <x:c r="A156" s="6" t="e">
        <x:f>IMAGE(P156)</x:f>
        <x:v>IMAGE is not implemented. source=https://img.kwcdn.com/product/fancy/1c177061-22a3-474f-aa4d-1a0e7773970e.jpg?imageView2/2/w/300/q/70/format/avif, altText=undefined, sizing=undefined, height=undefined, width=undefined</x:v>
      </x:c>
      <x:c r="B156" s="7" t="n">
        <x:v>45487</x:v>
      </x:c>
      <x:c r="C156" s="6" t="str">
        <x:v>PO-211-18069678377590601</x:v>
      </x:c>
      <x:c r="D156" s="10" t="str">
        <x:v>1pc Love You Forever Cross Necklace, Golden Infinity Pendant Classic Faith Prayer Jewelry, Party Jewelry, Christmas Gift, New Year's Gift, Valentine's Day Gift For Women Men Girlfriend Family Friends</x:v>
      </x:c>
      <x:c r="E156" s="10" t="str">
        <x:v>Golden</x:v>
      </x:c>
      <x:c r="F156" s="8" t="n">
        <x:v>10</x:v>
      </x:c>
      <x:c r="G156" s="8" t="n">
        <x:v>46</x:v>
      </x:c>
      <x:c r="H156" s="9" t="n">
        <x:v>0.48</x:v>
      </x:c>
      <x:c r="I156" s="9" t="n">
        <x:v>0.48</x:v>
      </x:c>
      <x:c r="J156" s="9" t="n">
        <x:v>0</x:v>
      </x:c>
      <x:c r="K156" s="9" t="n">
        <x:f>IF(G156=0,0,J156/G156)</x:f>
        <x:v>0</x:v>
      </x:c>
      <x:c r="L156" s="9" t="n">
        <x:f>I156+K156</x:f>
        <x:v>0.48</x:v>
      </x:c>
      <x:c r="M156" s="9" t="n">
        <x:f>L156*F156</x:f>
        <x:v>4.8</x:v>
      </x:c>
      <x:c r="N156" s="9" t="n">
        <x:v>12.26</x:v>
      </x:c>
      <x:c r="O156" s="9" t="n">
        <x:v>181.18</x:v>
      </x:c>
      <x:c r="P156" s="11" t="str">
        <x:v>https://img.kwcdn.com/product/fancy/1c177061-22a3-474f-aa4d-1a0e7773970e.jpg?imageView2/2/w/300/q/70/format/avif</x:v>
      </x:c>
      <x:c r="Q156" s="11" t="str">
        <x:v>https://www.temu.com/bgt_order_receipt.html?parent_order_sn=PO-211-18069678377590601</x:v>
      </x:c>
    </x:row>
    <x:row r="157" ht="48" customHeight="1">
      <x:c r="A157" s="6" t="e">
        <x:f>IMAGE(P157)</x:f>
        <x:v>IMAGE is not implemented. source=https://img.kwcdn.com/product/fancyalgo/toaster-api/toaster-processor-image-cm2in/236b3134-6a08-11ed-b54d-0a580a6937f3.jpg?imageView2/2/w/300/q/70/format/avif, altText=undefined, sizing=undefined, height=undefined, width=undefined</x:v>
      </x:c>
      <x:c r="B157" s="7" t="n">
        <x:v>45487</x:v>
      </x:c>
      <x:c r="C157" s="6" t="str">
        <x:v>PO-211-18069678377590601</x:v>
      </x:c>
      <x:c r="D157" s="10" t="str">
        <x:v>Hilarious Jumping Spring Snake Toy for April Fool's Day and Halloween Parties - Perfect Prank Trick and Fun Joke Gift</x:v>
      </x:c>
      <x:c r="E157" s="10" t="str">
        <x:v>6.2*5.1cm/2.5''*2'' / Prank Candy</x:v>
      </x:c>
      <x:c r="F157" s="8" t="n">
        <x:v>10</x:v>
      </x:c>
      <x:c r="G157" s="8" t="n">
        <x:v>46</x:v>
      </x:c>
      <x:c r="H157" s="9" t="n">
        <x:v>1.78</x:v>
      </x:c>
      <x:c r="I157" s="9" t="n">
        <x:v>1.78</x:v>
      </x:c>
      <x:c r="J157" s="9" t="n">
        <x:v>0</x:v>
      </x:c>
      <x:c r="K157" s="9" t="n">
        <x:f>IF(G157=0,0,J157/G157)</x:f>
        <x:v>0</x:v>
      </x:c>
      <x:c r="L157" s="9" t="n">
        <x:f>I157+K157</x:f>
        <x:v>1.78</x:v>
      </x:c>
      <x:c r="M157" s="9" t="n">
        <x:f>L157*F157</x:f>
        <x:v>17.8</x:v>
      </x:c>
      <x:c r="N157" s="9" t="n">
        <x:v>12.26</x:v>
      </x:c>
      <x:c r="O157" s="9" t="n">
        <x:v>181.18</x:v>
      </x:c>
      <x:c r="P157" s="11" t="str">
        <x:v>https://img.kwcdn.com/product/fancyalgo/toaster-api/toaster-processor-image-cm2in/236b3134-6a08-11ed-b54d-0a580a6937f3.jpg?imageView2/2/w/300/q/70/format/avif</x:v>
      </x:c>
      <x:c r="Q157" s="11" t="str">
        <x:v>https://www.temu.com/bgt_order_receipt.html?parent_order_sn=PO-211-18069678377590601</x:v>
      </x:c>
    </x:row>
    <x:row r="158" ht="48" customHeight="1">
      <x:c r="A158" s="6" t="e">
        <x:f>IMAGE(P158)</x:f>
        <x:v>IMAGE is not implemented. source=https://img.kwcdn.com/product/fancy/b01ffba8-3219-4c84-80dd-f65255a99e51.jpg?imageView2/2/w/300/q/70/format/avif, altText=undefined, sizing=undefined, height=undefined, width=undefined</x:v>
      </x:c>
      <x:c r="B158" s="7" t="n">
        <x:v>45487</x:v>
      </x:c>
      <x:c r="C158" s="6" t="str">
        <x:v>PO-211-18069678377590601</x:v>
      </x:c>
      <x:c r="D158" s="10" t="str">
        <x:v>3-Piece Plush Donut Pillow Toys - Perfect For Kids' Birthday Parties &amp; Stocking Stuffers, Soft Nylon Material, Ages 3-6</x:v>
      </x:c>
      <x:c r="E158" s="10" t="str">
        <x:v>Circle</x:v>
      </x:c>
      <x:c r="F158" s="8" t="n">
        <x:v>2</x:v>
      </x:c>
      <x:c r="G158" s="8" t="n">
        <x:v>46</x:v>
      </x:c>
      <x:c r="H158" s="9" t="n">
        <x:v>3.45</x:v>
      </x:c>
      <x:c r="I158" s="9" t="n">
        <x:v>3.45</x:v>
      </x:c>
      <x:c r="J158" s="9" t="n">
        <x:v>0</x:v>
      </x:c>
      <x:c r="K158" s="9" t="n">
        <x:f>IF(G158=0,0,J158/G158)</x:f>
        <x:v>0</x:v>
      </x:c>
      <x:c r="L158" s="9" t="n">
        <x:f>I158+K158</x:f>
        <x:v>3.45</x:v>
      </x:c>
      <x:c r="M158" s="9" t="n">
        <x:f>L158*F158</x:f>
        <x:v>6.9</x:v>
      </x:c>
      <x:c r="N158" s="9" t="n">
        <x:v>12.26</x:v>
      </x:c>
      <x:c r="O158" s="9" t="n">
        <x:v>181.18</x:v>
      </x:c>
      <x:c r="P158" s="11" t="str">
        <x:v>https://img.kwcdn.com/product/fancy/b01ffba8-3219-4c84-80dd-f65255a99e51.jpg?imageView2/2/w/300/q/70/format/avif</x:v>
      </x:c>
      <x:c r="Q158" s="11" t="str">
        <x:v>https://www.temu.com/bgt_order_receipt.html?parent_order_sn=PO-211-18069678377590601</x:v>
      </x:c>
    </x:row>
    <x:row r="159" ht="48" customHeight="1">
      <x:c r="A159" s="6" t="e">
        <x:f>IMAGE(P159)</x:f>
        <x:v>IMAGE is not implemented. source=https://img.kwcdn.com/product/fancy/4c4b7cd3-3e8e-4602-bd91-b73d366354a8.jpg?imageView2/2/w/300/q/70/format/avif, altText=undefined, sizing=undefined, height=undefined, width=undefined</x:v>
      </x:c>
      <x:c r="B159" s="7" t="n">
        <x:v>45487</x:v>
      </x:c>
      <x:c r="C159" s="6" t="str">
        <x:v>PO-211-18069678377590601</x:v>
      </x:c>
      <x:c r="D159" s="10" t="str">
        <x:v>10pcs/pack Soft Stuffed Bear Plush Toys, Mini Teddy Bear Toys, Gift Bag Pendant Teddy Dolls Gifts</x:v>
      </x:c>
      <x:c r="E159" s="10" t="str">
        <x:v>Milky / 10pcs</x:v>
      </x:c>
      <x:c r="F159" s="8" t="n">
        <x:v>1</x:v>
      </x:c>
      <x:c r="G159" s="8" t="n">
        <x:v>46</x:v>
      </x:c>
      <x:c r="H159" s="9" t="n">
        <x:v>3.98</x:v>
      </x:c>
      <x:c r="I159" s="9" t="n">
        <x:v>3.98</x:v>
      </x:c>
      <x:c r="J159" s="9" t="n">
        <x:v>0</x:v>
      </x:c>
      <x:c r="K159" s="9" t="n">
        <x:f>IF(G159=0,0,J159/G159)</x:f>
        <x:v>0</x:v>
      </x:c>
      <x:c r="L159" s="9" t="n">
        <x:f>I159+K159</x:f>
        <x:v>3.98</x:v>
      </x:c>
      <x:c r="M159" s="9" t="n">
        <x:f>L159*F159</x:f>
        <x:v>3.98</x:v>
      </x:c>
      <x:c r="N159" s="9" t="n">
        <x:v>12.26</x:v>
      </x:c>
      <x:c r="O159" s="9" t="n">
        <x:v>181.18</x:v>
      </x:c>
      <x:c r="P159" s="11" t="str">
        <x:v>https://img.kwcdn.com/product/fancy/4c4b7cd3-3e8e-4602-bd91-b73d366354a8.jpg?imageView2/2/w/300/q/70/format/avif</x:v>
      </x:c>
      <x:c r="Q159" s="11" t="str">
        <x:v>https://www.temu.com/bgt_order_receipt.html?parent_order_sn=PO-211-18069678377590601</x:v>
      </x:c>
    </x:row>
    <x:row r="160" ht="48" customHeight="1">
      <x:c r="A160" s="6" t="e">
        <x:f>IMAGE(P160)</x:f>
        <x:v>IMAGE is not implemented. source=https://img.kwcdn.com/product/fancy/3b08e51c-7b4b-43ea-a2e9-09bb02a10e61.jpg?imageView2/2/w/300/q/70/format/avif, altText=undefined, sizing=undefined, height=undefined, width=undefined</x:v>
      </x:c>
      <x:c r="B160" s="7" t="n">
        <x:v>45487</x:v>
      </x:c>
      <x:c r="C160" s="6" t="str">
        <x:v>PO-211-18069678377590601</x:v>
      </x:c>
      <x:c r="D160" s="10" t="str">
        <x:v>10pcs/pack Soft Stuffed Bear Plush Toys, Mini Teddy Bear Toys, Gift Bag Pendant Teddy Dolls Gifts</x:v>
      </x:c>
      <x:c r="E160" s="10" t="str">
        <x:v>Khaki Color / 10pcs</x:v>
      </x:c>
      <x:c r="F160" s="8" t="n">
        <x:v>1</x:v>
      </x:c>
      <x:c r="G160" s="8" t="n">
        <x:v>46</x:v>
      </x:c>
      <x:c r="H160" s="9" t="n">
        <x:v>3.98</x:v>
      </x:c>
      <x:c r="I160" s="9" t="n">
        <x:v>3.98</x:v>
      </x:c>
      <x:c r="J160" s="9" t="n">
        <x:v>0</x:v>
      </x:c>
      <x:c r="K160" s="9" t="n">
        <x:f>IF(G160=0,0,J160/G160)</x:f>
        <x:v>0</x:v>
      </x:c>
      <x:c r="L160" s="9" t="n">
        <x:f>I160+K160</x:f>
        <x:v>3.98</x:v>
      </x:c>
      <x:c r="M160" s="9" t="n">
        <x:f>L160*F160</x:f>
        <x:v>3.98</x:v>
      </x:c>
      <x:c r="N160" s="9" t="n">
        <x:v>12.26</x:v>
      </x:c>
      <x:c r="O160" s="9" t="n">
        <x:v>181.18</x:v>
      </x:c>
      <x:c r="P160" s="11" t="str">
        <x:v>https://img.kwcdn.com/product/fancy/3b08e51c-7b4b-43ea-a2e9-09bb02a10e61.jpg?imageView2/2/w/300/q/70/format/avif</x:v>
      </x:c>
      <x:c r="Q160" s="11" t="str">
        <x:v>https://www.temu.com/bgt_order_receipt.html?parent_order_sn=PO-211-18069678377590601</x:v>
      </x:c>
    </x:row>
    <x:row r="161" ht="48" customHeight="1">
      <x:c r="A161" s="6" t="e">
        <x:f>IMAGE(P161)</x:f>
        <x:v>IMAGE is not implemented. source=https://img.kwcdn.com/product/fancy/07051d46-9759-4789-9304-494b1c99e794.jpg?imageView2/2/w/300/q/70/format/avif, altText=undefined, sizing=undefined, height=undefined, width=undefined</x:v>
      </x:c>
      <x:c r="B161" s="7" t="n">
        <x:v>45487</x:v>
      </x:c>
      <x:c r="C161" s="6" t="str">
        <x:v>PO-211-18069678377590601</x:v>
      </x:c>
      <x:c r="D161" s="10" t="str">
        <x:v>10pcs/pack Soft Stuffed Bear Plush Toys, Mini Teddy Bear Toys, Gift Bag Pendant Teddy Dolls Gifts</x:v>
      </x:c>
      <x:c r="E161" s="10" t="str">
        <x:v>Rose / 10pcs</x:v>
      </x:c>
      <x:c r="F161" s="8" t="n">
        <x:v>1</x:v>
      </x:c>
      <x:c r="G161" s="8" t="n">
        <x:v>46</x:v>
      </x:c>
      <x:c r="H161" s="9" t="n">
        <x:v>3.98</x:v>
      </x:c>
      <x:c r="I161" s="9" t="n">
        <x:v>3.98</x:v>
      </x:c>
      <x:c r="J161" s="9" t="n">
        <x:v>0</x:v>
      </x:c>
      <x:c r="K161" s="9" t="n">
        <x:f>IF(G161=0,0,J161/G161)</x:f>
        <x:v>0</x:v>
      </x:c>
      <x:c r="L161" s="9" t="n">
        <x:f>I161+K161</x:f>
        <x:v>3.98</x:v>
      </x:c>
      <x:c r="M161" s="9" t="n">
        <x:f>L161*F161</x:f>
        <x:v>3.98</x:v>
      </x:c>
      <x:c r="N161" s="9" t="n">
        <x:v>12.26</x:v>
      </x:c>
      <x:c r="O161" s="9" t="n">
        <x:v>181.18</x:v>
      </x:c>
      <x:c r="P161" s="11" t="str">
        <x:v>https://img.kwcdn.com/product/fancy/07051d46-9759-4789-9304-494b1c99e794.jpg?imageView2/2/w/300/q/70/format/avif</x:v>
      </x:c>
      <x:c r="Q161" s="11" t="str">
        <x:v>https://www.temu.com/bgt_order_receipt.html?parent_order_sn=PO-211-18069678377590601</x:v>
      </x:c>
    </x:row>
  </x:sheetData>
  <x:pageMargins left="0.7" right="0.7" top="0.75" bottom="0.75" header="0.3" footer="0.3"/>
  <x:tableParts count="1">
    <x:tablePart xmlns:r="http://schemas.openxmlformats.org/officeDocument/2006/relationships" r:id="R0e7fb08a445944ed"/>
  </x:tableParts>
</x:worksheet>
</file>

<file path=xl/worksheets/sheet2.xml><?xml version="1.0" encoding="utf-8"?>
<x:worksheet xmlns:x="http://schemas.openxmlformats.org/spreadsheetml/2006/main">
  <x:sheetViews>
    <x:sheetView showGridLines="1" workbookViewId="0"/>
  </x:sheetViews>
  <x:sheetFormatPr defaultRowHeight="15"/>
  <x:cols>
    <x:col min="1" max="1" width="23.75" hidden="0" customWidth="1"/>
    <x:col min="2" max="2" width="15.630000114440918" hidden="0" customWidth="1"/>
    <x:col min="3" max="3" width="13.130000114440918" hidden="0" customWidth="1"/>
    <x:col min="4" max="4" width="13.130000114440918" hidden="0" customWidth="1"/>
    <x:col min="5" max="5" width="13.130000114440918" hidden="0" customWidth="1"/>
    <x:col min="6" max="6" width="13.130000114440918" hidden="0" customWidth="1"/>
  </x:cols>
  <x:sheetData>
    <x:row r="1" ht="25.5" customHeight="1">
      <x:c r="A1" s="14" t="str">
        <x:v>Temu Order Summary</x:v>
      </x:c>
      <x:c r="B1" s="14"/>
      <x:c r="C1" s="14"/>
      <x:c r="D1" s="14"/>
      <x:c r="E1" s="14"/>
      <x:c r="F1" s="14"/>
    </x:row>
    <x:row r="3">
      <x:c r="A3" s="3" t="str">
        <x:v>Metric</x:v>
      </x:c>
      <x:c r="B3" s="3" t="str">
        <x:v>Value</x:v>
      </x:c>
    </x:row>
    <x:row r="4">
      <x:c r="A4" s="15" t="str">
        <x:v>Orders</x:v>
      </x:c>
      <x:c r="B4" s="16" t="n">
        <x:f>COUNTA(_xlfn.UNIQUE('Orders'!C2:C161))</x:f>
        <x:v>76</x:v>
      </x:c>
    </x:row>
    <x:row r="5">
      <x:c r="A5" s="15" t="str">
        <x:v>Product / variant lines</x:v>
      </x:c>
      <x:c r="B5" s="16" t="n">
        <x:f>COUNTA('Orders'!D2:D161)</x:f>
        <x:v>160</x:v>
      </x:c>
    </x:row>
    <x:row r="6">
      <x:c r="A6" s="15" t="str">
        <x:v>Units purchased</x:v>
      </x:c>
      <x:c r="B6" s="16" t="n">
        <x:f>SUM('Orders'!F2:F161)</x:f>
        <x:v>273</x:v>
      </x:c>
    </x:row>
    <x:row r="7">
      <x:c r="A7" s="15" t="str">
        <x:v>Merchandise paid</x:v>
      </x:c>
      <x:c r="B7" s="17" t="n">
        <x:f>SUMPRODUCT('Orders'!I2:I161,'Orders'!F2:F161)</x:f>
        <x:v>2418.730000000001</x:v>
      </x:c>
    </x:row>
    <x:row r="8">
      <x:c r="A8" s="15" t="str">
        <x:v>Shipping paid</x:v>
      </x:c>
      <x:c r="B8" s="17" t="n">
        <x:f>SUMPRODUCT(('Orders'!C2:C161&lt;&gt; 'Orders'!C1:C160)*'Orders'!J2:J161)</x:f>
        <x:v>89.69999999999999</x:v>
      </x:c>
    </x:row>
    <x:row r="9">
      <x:c r="A9" s="15" t="str">
        <x:v>Order totals</x:v>
      </x:c>
      <x:c r="B9" s="17" t="n">
        <x:f>SUMPRODUCT(('Orders'!C2:C161&lt;&gt; 'Orders'!C1:C160)*'Orders'!O2:O161)</x:f>
        <x:v>2677.7999999999997</x:v>
      </x:c>
    </x:row>
    <x:row r="11">
      <x:c r="A11" s="37" t="str">
        <x:v>Method: Shipping Added / Unit = order shipping ÷ total units in that order. Unit Cost incl. Shipping = paid unit price + shipping allocation. Sales tax is shown separately and is not included in the shipping-adjusted item cost.</x:v>
      </x:c>
      <x:c r="B11" s="38"/>
      <x:c r="C11" s="38"/>
      <x:c r="D11" s="38"/>
      <x:c r="E11" s="38"/>
      <x:c r="F11" s="39"/>
    </x:row>
    <x:row r="12">
      <x:c r="A12" s="40"/>
      <x:c r="B12" s="41"/>
      <x:c r="C12" s="41"/>
      <x:c r="D12" s="41"/>
      <x:c r="E12" s="41"/>
      <x:c r="F12" s="42"/>
    </x:row>
    <x:row r="13">
      <x:c r="A13" s="43"/>
      <x:c r="B13" s="44"/>
      <x:c r="C13" s="44"/>
      <x:c r="D13" s="44"/>
      <x:c r="E13" s="44"/>
      <x:c r="F13" s="45"/>
    </x:row>
  </x:sheetData>
  <x:mergeCells>
    <x:mergeCell ref="A1:F1"/>
    <x:mergeCell ref="A11:F11"/>
    <x:mergeCell ref="A12:F12"/>
    <x:mergeCell ref="A13:F13"/>
  </x:mergeCells>
  <x:pageMargins left="0.7" right="0.7" top="0.75" bottom="0.75" header="0.3" footer="0.3"/>
</x:worksheet>
</file>